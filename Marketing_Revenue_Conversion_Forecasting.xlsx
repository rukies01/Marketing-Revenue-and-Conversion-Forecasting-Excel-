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ukayyat\Downloads\"/>
    </mc:Choice>
  </mc:AlternateContent>
  <xr:revisionPtr revIDLastSave="0" documentId="13_ncr:1_{877E1751-8882-4CFE-A256-4B1DE3911CA1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Forcasted Data" sheetId="3" r:id="rId1"/>
    <sheet name="Marketing_Performance " sheetId="1" r:id="rId2"/>
    <sheet name="Formular" sheetId="2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9" i="1" l="1"/>
  <c r="B46" i="1"/>
  <c r="B4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" i="1"/>
  <c r="B40" i="1"/>
  <c r="B3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L15" i="1"/>
  <c r="L14" i="1"/>
  <c r="C28" i="3"/>
  <c r="C30" i="3"/>
  <c r="C31" i="3"/>
  <c r="C26" i="3"/>
  <c r="C27" i="3"/>
  <c r="C29" i="3"/>
  <c r="E29" i="3"/>
  <c r="E30" i="3"/>
  <c r="D30" i="3"/>
  <c r="D27" i="3"/>
  <c r="E26" i="3"/>
  <c r="D29" i="3"/>
  <c r="E27" i="3"/>
  <c r="E28" i="3"/>
  <c r="D28" i="3"/>
  <c r="D31" i="3"/>
  <c r="E31" i="3"/>
  <c r="D26" i="3"/>
  <c r="D30" i="1" l="1"/>
  <c r="H30" i="1"/>
  <c r="D38" i="1" s="1"/>
  <c r="D29" i="1"/>
  <c r="H29" i="1"/>
  <c r="D28" i="1"/>
  <c r="H28" i="1"/>
  <c r="D27" i="1"/>
  <c r="H27" i="1"/>
  <c r="D35" i="1" s="1"/>
  <c r="H26" i="1"/>
  <c r="D26" i="1"/>
  <c r="D31" i="1"/>
  <c r="H31" i="1"/>
  <c r="D37" i="1" l="1"/>
  <c r="D34" i="1"/>
  <c r="D36" i="1"/>
</calcChain>
</file>

<file path=xl/sharedStrings.xml><?xml version="1.0" encoding="utf-8"?>
<sst xmlns="http://schemas.openxmlformats.org/spreadsheetml/2006/main" count="117" uniqueCount="84">
  <si>
    <t>Month</t>
  </si>
  <si>
    <t>Website_Sessions</t>
  </si>
  <si>
    <t>Ad_Spend_EUR</t>
  </si>
  <si>
    <t>Leads</t>
  </si>
  <si>
    <t>Conversions</t>
  </si>
  <si>
    <t>Revenue_EUR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</si>
  <si>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</si>
  <si>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</si>
  <si>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</si>
  <si>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</si>
  <si>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</si>
  <si>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</si>
  <si>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</si>
  <si>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</si>
  <si>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</si>
  <si>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</si>
  <si>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</si>
  <si>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</si>
  <si>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</si>
  <si>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</si>
  <si>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</si>
  <si>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</si>
  <si>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</si>
  <si>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</si>
  <si>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</si>
  <si>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</si>
  <si>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</si>
  <si>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</si>
  <si>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</si>
  <si>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</si>
  <si>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Month Index</t>
  </si>
  <si>
    <t xml:space="preserve">Based on this formular    </t>
  </si>
  <si>
    <t>=FORECAST.LINEAR(25, G2:G25, B2:B25)'</t>
  </si>
  <si>
    <t xml:space="preserve">Next month revenue will be equal to </t>
  </si>
  <si>
    <t>Based on this formular                =AVERAGE(OFFSET(G2,COUNT(G2:G25)-6,0,6))</t>
  </si>
  <si>
    <t xml:space="preserve">The 6  months moving avaerage for revenue is </t>
  </si>
  <si>
    <t>Forcasted Revenue</t>
  </si>
  <si>
    <t xml:space="preserve">forcasting conversion rate </t>
  </si>
  <si>
    <t>To get conversion we need to finf the difference btw earliest website session and latest</t>
  </si>
  <si>
    <t>didv by the gaps in between</t>
  </si>
  <si>
    <t>70000-42000</t>
  </si>
  <si>
    <t>28000/23</t>
  </si>
  <si>
    <t xml:space="preserve">ans </t>
  </si>
  <si>
    <t>This means that our website sessuon increases by 1217 per month</t>
  </si>
  <si>
    <t>month 25</t>
  </si>
  <si>
    <t>70000+1212</t>
  </si>
  <si>
    <t>71217+1217</t>
  </si>
  <si>
    <t>month 26</t>
  </si>
  <si>
    <t>month 27</t>
  </si>
  <si>
    <t>72434+1217</t>
  </si>
  <si>
    <t>The above is the forcasted website session, to get our conversion rate we need to div</t>
  </si>
  <si>
    <t>conversion by website session</t>
  </si>
  <si>
    <t>560/70000</t>
  </si>
  <si>
    <t xml:space="preserve">to get the Conversion forecast for 3 months we need to multiply our forecasted </t>
  </si>
  <si>
    <t>website session by 0.8</t>
  </si>
  <si>
    <t>*0.008</t>
  </si>
  <si>
    <t>ROI</t>
  </si>
  <si>
    <t>Forecast(Revenue_EUR)</t>
  </si>
  <si>
    <t>Lower Confidence Bound(Revenue_EUR)</t>
  </si>
  <si>
    <t>Upper Confidence Bound(Revenue_EUR)</t>
  </si>
  <si>
    <t>ConversionRate</t>
  </si>
  <si>
    <t>total Revenue</t>
  </si>
  <si>
    <t>Total Ad spend</t>
  </si>
  <si>
    <t>Total ROI</t>
  </si>
  <si>
    <t>Total leads</t>
  </si>
  <si>
    <t>websit session</t>
  </si>
  <si>
    <t>tottal convrsion</t>
  </si>
  <si>
    <t>75250</t>
  </si>
  <si>
    <t>78833.333333</t>
  </si>
  <si>
    <t>76460.144928</t>
  </si>
  <si>
    <t>77473.623188</t>
  </si>
  <si>
    <t>78487.101449</t>
  </si>
  <si>
    <t>79500.57971</t>
  </si>
  <si>
    <t>80514.057971</t>
  </si>
  <si>
    <t>ans</t>
  </si>
  <si>
    <t>1217</t>
  </si>
  <si>
    <t>81527.536232</t>
  </si>
  <si>
    <t>71217</t>
  </si>
  <si>
    <t>72434</t>
  </si>
  <si>
    <t>73651</t>
  </si>
  <si>
    <t>0.008</t>
  </si>
  <si>
    <t>570</t>
  </si>
  <si>
    <t>579</t>
  </si>
  <si>
    <t>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</si>
</sst>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0" fontId="0" fillId="0" borderId="0" xfId="0" quotePrefix="1"/>
    <xf numFmtId="3" fontId="0" fillId="0" borderId="0" xfId="0" applyNumberFormat="1"/>
    <xf numFmtId="2" fontId="0" fillId="0" borderId="0" xfId="0" applyNumberFormat="1"/>
    <xf numFmtId="164" fontId="2" fillId="0" borderId="0" xfId="1" applyNumberFormat="1" applyFont="1"/>
    <xf numFmtId="164" fontId="0" fillId="0" borderId="0" xfId="1" applyNumberFormat="1" applyFont="1"/>
    <xf numFmtId="10" fontId="2" fillId="0" borderId="0" xfId="1" applyNumberFormat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2"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499523670652281E-2"/>
          <c:y val="0.10966810966810966"/>
          <c:w val="0.92655744118941652"/>
          <c:h val="0.83528604378998084"/>
        </c:manualLayout>
      </c:layout>
      <c:lineChart>
        <c:grouping val="standard"/>
        <c:varyColors val="0"/>
        <c:ser>
          <c:idx val="0"/>
          <c:order val="0"/>
          <c:tx>
            <c:strRef>
              <c:f>'Forcasted Data'!$B$1</c:f>
              <c:strCache>
                <c:ptCount val="1"/>
                <c:pt idx="0">
                  <c:v>Revenue_EUR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'Forcasted Data'!$B$2:$B$31</c:f>
              <c:numCache>
                <c:formatCode>General</c:formatCode>
                <c:ptCount val="30"/>
                <c:pt idx="0">
                  <c:v>48000</c:v>
                </c:pt>
                <c:pt idx="1">
                  <c:v>45000</c:v>
                </c:pt>
                <c:pt idx="2">
                  <c:v>52000</c:v>
                </c:pt>
                <c:pt idx="3">
                  <c:v>55000</c:v>
                </c:pt>
                <c:pt idx="4">
                  <c:v>60000</c:v>
                </c:pt>
                <c:pt idx="5">
                  <c:v>58500</c:v>
                </c:pt>
                <c:pt idx="6">
                  <c:v>63000</c:v>
                </c:pt>
                <c:pt idx="7">
                  <c:v>66000</c:v>
                </c:pt>
                <c:pt idx="8">
                  <c:v>70500</c:v>
                </c:pt>
                <c:pt idx="9">
                  <c:v>73500</c:v>
                </c:pt>
                <c:pt idx="10">
                  <c:v>68000</c:v>
                </c:pt>
                <c:pt idx="11">
                  <c:v>78000</c:v>
                </c:pt>
                <c:pt idx="12">
                  <c:v>49500</c:v>
                </c:pt>
                <c:pt idx="13">
                  <c:v>47000</c:v>
                </c:pt>
                <c:pt idx="14">
                  <c:v>57500</c:v>
                </c:pt>
                <c:pt idx="15">
                  <c:v>60000</c:v>
                </c:pt>
                <c:pt idx="16">
                  <c:v>65000</c:v>
                </c:pt>
                <c:pt idx="17">
                  <c:v>63000</c:v>
                </c:pt>
                <c:pt idx="18">
                  <c:v>68000</c:v>
                </c:pt>
                <c:pt idx="19">
                  <c:v>71000</c:v>
                </c:pt>
                <c:pt idx="20">
                  <c:v>76000</c:v>
                </c:pt>
                <c:pt idx="21">
                  <c:v>79000</c:v>
                </c:pt>
                <c:pt idx="22">
                  <c:v>73500</c:v>
                </c:pt>
                <c:pt idx="23">
                  <c:v>84000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9-459D-A3B8-F2D82401B56A}"/>
            </c:ext>
          </c:extLst>
        </c:ser>
        <c:ser>
          <c:idx val="1"/>
          <c:order val="1"/>
          <c:tx>
            <c:strRef>
              <c:f>'Forcasted Data'!$C$1</c:f>
              <c:strCache>
                <c:ptCount val="1"/>
                <c:pt idx="0">
                  <c:v>Forecast(Revenue_EUR)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'Forcasted Data'!$A$2:$A$31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'Forcasted Data'!$C$2:$C$31</c:f>
              <c:numCache>
                <c:formatCode>General</c:formatCode>
                <c:ptCount val="30"/>
                <c:pt idx="23">
                  <c:v>84000</c:v>
                </c:pt>
                <c:pt idx="24">
                  <c:v>76923.078791602195</c:v>
                </c:pt>
                <c:pt idx="25">
                  <c:v>77968.931906754922</c:v>
                </c:pt>
                <c:pt idx="26">
                  <c:v>79014.78502190765</c:v>
                </c:pt>
                <c:pt idx="27">
                  <c:v>80060.638137060378</c:v>
                </c:pt>
                <c:pt idx="28">
                  <c:v>81106.491252213105</c:v>
                </c:pt>
                <c:pt idx="29">
                  <c:v>82152.344367365818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C9-459D-A3B8-F2D82401B56A}"/>
            </c:ext>
          </c:extLst>
        </c:ser>
        <c:ser>
          <c:idx val="2"/>
          <c:order val="2"/>
          <c:tx>
            <c:strRef>
              <c:f>'Forcasted Data'!$D$1</c:f>
              <c:strCache>
                <c:ptCount val="1"/>
                <c:pt idx="0">
                  <c:v>Lower Confidence Bound(Revenue_EUR)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'Forcasted Data'!$A$2:$A$31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'Forcasted Data'!$D$2:$D$31</c:f>
              <c:numCache>
                <c:formatCode>General</c:formatCode>
                <c:ptCount val="30"/>
                <c:pt idx="23" formatCode="0.00">
                  <c:v>84000</c:v>
                </c:pt>
                <c:pt idx="24" formatCode="0.00">
                  <c:v>60367.764390354234</c:v>
                </c:pt>
                <c:pt idx="25" formatCode="0.00">
                  <c:v>61280.641221335398</c:v>
                </c:pt>
                <c:pt idx="26" formatCode="0.00">
                  <c:v>62192.491864348616</c:v>
                </c:pt>
                <c:pt idx="27" formatCode="0.00">
                  <c:v>63103.324484408004</c:v>
                </c:pt>
                <c:pt idx="28" formatCode="0.00">
                  <c:v>64013.14717141226</c:v>
                </c:pt>
                <c:pt idx="29" formatCode="0.00">
                  <c:v>64921.967938326823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C9-459D-A3B8-F2D82401B56A}"/>
            </c:ext>
          </c:extLst>
        </c:ser>
        <c:ser>
          <c:idx val="3"/>
          <c:order val="3"/>
          <c:tx>
            <c:strRef>
              <c:f>'Forcasted Data'!$E$1</c:f>
              <c:strCache>
                <c:ptCount val="1"/>
                <c:pt idx="0">
                  <c:v>Upper Confidence Bound(Revenue_EUR)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'Forcasted Data'!$A$2:$A$31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'Forcasted Data'!$E$2:$E$31</c:f>
              <c:numCache>
                <c:formatCode>General</c:formatCode>
                <c:ptCount val="30"/>
                <c:pt idx="23" formatCode="0.00">
                  <c:v>84000</c:v>
                </c:pt>
                <c:pt idx="24" formatCode="0.00">
                  <c:v>93478.393192850155</c:v>
                </c:pt>
                <c:pt idx="25" formatCode="0.00">
                  <c:v>94657.222592174454</c:v>
                </c:pt>
                <c:pt idx="26" formatCode="0.00">
                  <c:v>95837.078179466684</c:v>
                </c:pt>
                <c:pt idx="27" formatCode="0.00">
                  <c:v>97017.951789712752</c:v>
                </c:pt>
                <c:pt idx="28" formatCode="0.00">
                  <c:v>98199.835333013951</c:v>
                </c:pt>
                <c:pt idx="29" formatCode="0.00">
                  <c:v>99382.720796404814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C9-459D-A3B8-F2D82401B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4419759"/>
        <c:axId val="294420239"/>
      </c:lineChart>
      <c:catAx>
        <c:axId val="29441975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420239"/>
        <c:crosses val="autoZero"/>
        <c:auto val="1"/>
        <c:lblAlgn val="ctr"/>
        <c:lblOffset val="100"/>
        <c:noMultiLvlLbl val="0"/>
      </c:catAx>
      <c:valAx>
        <c:axId val="29442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41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Actual Revenue Vs. Forcasted Revenue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'Marketing_Performance '!$G$1</c:f>
              <c:strCache>
                <c:ptCount val="1"/>
                <c:pt idx="0">
                  <c:v>Revenue_EUR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'Marketing_Performance '!$G$2:$G$31</c:f>
              <c:numCache>
                <c:formatCode>General</c:formatCode>
                <c:ptCount val="30"/>
                <c:pt idx="0">
                  <c:v>48000</c:v>
                </c:pt>
                <c:pt idx="1">
                  <c:v>45000</c:v>
                </c:pt>
                <c:pt idx="2">
                  <c:v>52000</c:v>
                </c:pt>
                <c:pt idx="3">
                  <c:v>55000</c:v>
                </c:pt>
                <c:pt idx="4">
                  <c:v>60000</c:v>
                </c:pt>
                <c:pt idx="5">
                  <c:v>58500</c:v>
                </c:pt>
                <c:pt idx="6">
                  <c:v>63000</c:v>
                </c:pt>
                <c:pt idx="7">
                  <c:v>66000</c:v>
                </c:pt>
                <c:pt idx="8">
                  <c:v>70500</c:v>
                </c:pt>
                <c:pt idx="9">
                  <c:v>73500</c:v>
                </c:pt>
                <c:pt idx="10">
                  <c:v>68000</c:v>
                </c:pt>
                <c:pt idx="11">
                  <c:v>78000</c:v>
                </c:pt>
                <c:pt idx="12">
                  <c:v>49500</c:v>
                </c:pt>
                <c:pt idx="13">
                  <c:v>47000</c:v>
                </c:pt>
                <c:pt idx="14">
                  <c:v>57500</c:v>
                </c:pt>
                <c:pt idx="15">
                  <c:v>60000</c:v>
                </c:pt>
                <c:pt idx="16">
                  <c:v>65000</c:v>
                </c:pt>
                <c:pt idx="17">
                  <c:v>63000</c:v>
                </c:pt>
                <c:pt idx="18">
                  <c:v>68000</c:v>
                </c:pt>
                <c:pt idx="19">
                  <c:v>71000</c:v>
                </c:pt>
                <c:pt idx="20">
                  <c:v>76000</c:v>
                </c:pt>
                <c:pt idx="21">
                  <c:v>79000</c:v>
                </c:pt>
                <c:pt idx="22">
                  <c:v>73500</c:v>
                </c:pt>
                <c:pt idx="23">
                  <c:v>84000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CE-423B-B79F-113B72C88E6D}"/>
            </c:ext>
          </c:extLst>
        </c:ser>
        <c:ser>
          <c:idx val="2"/>
          <c:order val="2"/>
          <c:tx>
            <c:strRef>
              <c:f>'Marketing_Performance '!$H$1</c:f>
              <c:strCache>
                <c:ptCount val="1"/>
                <c:pt idx="0">
                  <c:v>Forcasted 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'Marketing_Performance '!$H$2:$H$31</c:f>
              <c:numCache>
                <c:formatCode>General</c:formatCode>
                <c:ptCount val="30"/>
                <c:pt idx="24">
                  <c:v>76460.144927536225</c:v>
                </c:pt>
                <c:pt idx="25">
                  <c:v>77473.623188405792</c:v>
                </c:pt>
                <c:pt idx="26">
                  <c:v>78487.10144927536</c:v>
                </c:pt>
                <c:pt idx="27">
                  <c:v>79500.579710144928</c:v>
                </c:pt>
                <c:pt idx="28">
                  <c:v>80514.057971014496</c:v>
                </c:pt>
                <c:pt idx="29">
                  <c:v>81527.536231884049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CE-423B-B79F-113B72C88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086911"/>
        <c:axId val="2720859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'Marketing_Performance '!$B$1</c15:sqref>
                        </c15:formulaRef>
                      </c:ext>
                    </c:extLst>
                    <c:strCache>
                      <c:ptCount val="1"/>
                      <c:pt idx="0">
                        <c:v>Month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'Marketing_Performance '!$B$2:$B$31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5CE-423B-B79F-113B72C88E6D}"/>
                  </c:ext>
                </c:extLst>
              </c15:ser>
            </c15:filteredLineSeries>
          </c:ext>
        </c:extLst>
      </c:lineChart>
      <c:catAx>
        <c:axId val="272086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  <a:r>
                  <a:rPr lang="en-GB" baseline="0"/>
                  <a:t> Index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5951"/>
        <c:crosses val="autoZero"/>
        <c:auto val="1"/>
        <c:lblAlgn val="ctr"/>
        <c:lblOffset val="100"/>
        <c:noMultiLvlLbl val="0"/>
      </c:catAx>
      <c:valAx>
        <c:axId val="27208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Vs. Ad spend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'Marketing_Performance '!$G$1</c:f>
              <c:strCache>
                <c:ptCount val="1"/>
                <c:pt idx="0">
                  <c:v>Revenue_EUR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2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'Marketing_Performance '!$G$2:$G$31</c15:sqref>
                  </c15:fullRef>
                </c:ext>
              </c:extLst>
              <c:f>'Marketing_Performance '!$G$2:$G$25</c:f>
              <c:numCache>
                <c:formatCode>General</c:formatCode>
                <c:ptCount val="24"/>
                <c:pt idx="0">
                  <c:v>48000</c:v>
                </c:pt>
                <c:pt idx="1">
                  <c:v>45000</c:v>
                </c:pt>
                <c:pt idx="2">
                  <c:v>52000</c:v>
                </c:pt>
                <c:pt idx="3">
                  <c:v>55000</c:v>
                </c:pt>
                <c:pt idx="4">
                  <c:v>60000</c:v>
                </c:pt>
                <c:pt idx="5">
                  <c:v>58500</c:v>
                </c:pt>
                <c:pt idx="6">
                  <c:v>63000</c:v>
                </c:pt>
                <c:pt idx="7">
                  <c:v>66000</c:v>
                </c:pt>
                <c:pt idx="8">
                  <c:v>70500</c:v>
                </c:pt>
                <c:pt idx="9">
                  <c:v>73500</c:v>
                </c:pt>
                <c:pt idx="10">
                  <c:v>68000</c:v>
                </c:pt>
                <c:pt idx="11">
                  <c:v>78000</c:v>
                </c:pt>
                <c:pt idx="12">
                  <c:v>49500</c:v>
                </c:pt>
                <c:pt idx="13">
                  <c:v>47000</c:v>
                </c:pt>
                <c:pt idx="14">
                  <c:v>57500</c:v>
                </c:pt>
                <c:pt idx="15">
                  <c:v>60000</c:v>
                </c:pt>
                <c:pt idx="16">
                  <c:v>65000</c:v>
                </c:pt>
                <c:pt idx="17">
                  <c:v>63000</c:v>
                </c:pt>
                <c:pt idx="18">
                  <c:v>68000</c:v>
                </c:pt>
                <c:pt idx="19">
                  <c:v>71000</c:v>
                </c:pt>
                <c:pt idx="20">
                  <c:v>76000</c:v>
                </c:pt>
                <c:pt idx="21">
                  <c:v>79000</c:v>
                </c:pt>
                <c:pt idx="22">
                  <c:v>73500</c:v>
                </c:pt>
                <c:pt idx="23">
                  <c:v>84000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01-4EA9-B2E9-04DA162C4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5429535"/>
        <c:axId val="17654300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'Marketing_Performance '!$B$1</c15:sqref>
                        </c15:formulaRef>
                      </c:ext>
                    </c:extLst>
                    <c:strCache>
                      <c:ptCount val="1"/>
                      <c:pt idx="0">
                        <c:v>Month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ullRef>
                          <c15:sqref>'Marketing_Performance '!$B$2:$B$31</c15:sqref>
                        </c15:fullRef>
                        <c15:formulaRef>
                          <c15:sqref>'Marketing_Performance '!$B$2:$B$25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201-4EA9-B2E9-04DA162C4741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1"/>
          <c:order val="1"/>
          <c:tx>
            <c:strRef>
              <c:f>'Marketing_Performance '!$D$1</c:f>
              <c:strCache>
                <c:ptCount val="1"/>
                <c:pt idx="0">
                  <c:v>Ad_Spend_EUR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2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'Marketing_Performance '!$D$2:$D$31</c15:sqref>
                  </c15:fullRef>
                </c:ext>
              </c:extLst>
              <c:f>'Marketing_Performance '!$D$2:$D$25</c:f>
              <c:numCache>
                <c:formatCode>General</c:formatCode>
                <c:ptCount val="24"/>
                <c:pt idx="0">
                  <c:v>12000</c:v>
                </c:pt>
                <c:pt idx="1">
                  <c:v>11000</c:v>
                </c:pt>
                <c:pt idx="2">
                  <c:v>13000</c:v>
                </c:pt>
                <c:pt idx="3">
                  <c:v>14000</c:v>
                </c:pt>
                <c:pt idx="4">
                  <c:v>15000</c:v>
                </c:pt>
                <c:pt idx="5">
                  <c:v>14500</c:v>
                </c:pt>
                <c:pt idx="6">
                  <c:v>15500</c:v>
                </c:pt>
                <c:pt idx="7">
                  <c:v>16000</c:v>
                </c:pt>
                <c:pt idx="8">
                  <c:v>17000</c:v>
                </c:pt>
                <c:pt idx="9">
                  <c:v>17500</c:v>
                </c:pt>
                <c:pt idx="10">
                  <c:v>16500</c:v>
                </c:pt>
                <c:pt idx="11">
                  <c:v>19000</c:v>
                </c:pt>
                <c:pt idx="12">
                  <c:v>13000</c:v>
                </c:pt>
                <c:pt idx="13">
                  <c:v>12500</c:v>
                </c:pt>
                <c:pt idx="14">
                  <c:v>14500</c:v>
                </c:pt>
                <c:pt idx="15">
                  <c:v>15000</c:v>
                </c:pt>
                <c:pt idx="16">
                  <c:v>16000</c:v>
                </c:pt>
                <c:pt idx="17">
                  <c:v>15500</c:v>
                </c:pt>
                <c:pt idx="18">
                  <c:v>16500</c:v>
                </c:pt>
                <c:pt idx="19">
                  <c:v>17000</c:v>
                </c:pt>
                <c:pt idx="20">
                  <c:v>18000</c:v>
                </c:pt>
                <c:pt idx="21">
                  <c:v>18500</c:v>
                </c:pt>
                <c:pt idx="22">
                  <c:v>17500</c:v>
                </c:pt>
                <c:pt idx="23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01-4EA9-B2E9-04DA162C4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571183"/>
        <c:axId val="330570703"/>
      </c:lineChart>
      <c:catAx>
        <c:axId val="17654295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30015"/>
        <c:crosses val="autoZero"/>
        <c:auto val="1"/>
        <c:lblAlgn val="ctr"/>
        <c:lblOffset val="100"/>
        <c:noMultiLvlLbl val="0"/>
      </c:catAx>
      <c:valAx>
        <c:axId val="176543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29535"/>
        <c:crosses val="autoZero"/>
        <c:crossBetween val="between"/>
      </c:valAx>
      <c:valAx>
        <c:axId val="3305707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571183"/>
        <c:crosses val="max"/>
        <c:crossBetween val="between"/>
      </c:valAx>
      <c:catAx>
        <c:axId val="330571183"/>
        <c:scaling>
          <c:orientation val="minMax"/>
        </c:scaling>
        <c:delete val="1"/>
        <c:axPos val="b"/>
        <c:majorTickMark val="out"/>
        <c:minorTickMark val="none"/>
        <c:tickLblPos val="nextTo"/>
        <c:crossAx val="3305707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Conversion</a:t>
            </a:r>
            <a:r>
              <a:rPr lang="en-GB" baseline="0"/>
              <a:t> Trend</a:t>
            </a:r>
          </a:p>
          <a:p>
            <a:pPr>
              <a:defRPr/>
            </a:pPr>
            <a:endParaRPr lang="en-GB"/>
          </a:p>
        </c:rich>
      </c:tx>
      <c:layout>
        <c:manualLayout>
          <c:xMode val="edge"/>
          <c:yMode val="edge"/>
          <c:x val="3.7404339412059825E-2"/>
          <c:y val="0.171296296296296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'Marketing_Performance '!$B$1</c:f>
              <c:strCache>
                <c:ptCount val="1"/>
                <c:pt idx="0">
                  <c:v>Month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'Marketing_Performance '!$B$2:$B$31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57-446F-9142-085E37A7B18C}"/>
            </c:ext>
          </c:extLst>
        </c:ser>
        <c:ser>
          <c:idx val="1"/>
          <c:order val="1"/>
          <c:tx>
            <c:strRef>
              <c:f>'Marketing_Performance '!$F$1</c:f>
              <c:strCache>
                <c:ptCount val="1"/>
                <c:pt idx="0">
                  <c:v>Conversions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>
              <a:softEdge rad="12700"/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>
                <a:softEdge rad="12700"/>
              </a:effectLst>
            </c:spPr>
          </c:marker>
          <c:val>
            <c:numRef>
              <c:f>'Marketing_Performance '!$F$2:$F$31</c:f>
              <c:numCache>
                <c:formatCode>General</c:formatCode>
                <c:ptCount val="30"/>
                <c:pt idx="0">
                  <c:v>320</c:v>
                </c:pt>
                <c:pt idx="1">
                  <c:v>300</c:v>
                </c:pt>
                <c:pt idx="2">
                  <c:v>350</c:v>
                </c:pt>
                <c:pt idx="3">
                  <c:v>365</c:v>
                </c:pt>
                <c:pt idx="4">
                  <c:v>400</c:v>
                </c:pt>
                <c:pt idx="5">
                  <c:v>390</c:v>
                </c:pt>
                <c:pt idx="6">
                  <c:v>420</c:v>
                </c:pt>
                <c:pt idx="7">
                  <c:v>440</c:v>
                </c:pt>
                <c:pt idx="8">
                  <c:v>470</c:v>
                </c:pt>
                <c:pt idx="9">
                  <c:v>490</c:v>
                </c:pt>
                <c:pt idx="10">
                  <c:v>455</c:v>
                </c:pt>
                <c:pt idx="11">
                  <c:v>520</c:v>
                </c:pt>
                <c:pt idx="12">
                  <c:v>330</c:v>
                </c:pt>
                <c:pt idx="13">
                  <c:v>315</c:v>
                </c:pt>
                <c:pt idx="14">
                  <c:v>385</c:v>
                </c:pt>
                <c:pt idx="15">
                  <c:v>400</c:v>
                </c:pt>
                <c:pt idx="16">
                  <c:v>435</c:v>
                </c:pt>
                <c:pt idx="17">
                  <c:v>420</c:v>
                </c:pt>
                <c:pt idx="18">
                  <c:v>455</c:v>
                </c:pt>
                <c:pt idx="19">
                  <c:v>475</c:v>
                </c:pt>
                <c:pt idx="20">
                  <c:v>505</c:v>
                </c:pt>
                <c:pt idx="21">
                  <c:v>525</c:v>
                </c:pt>
                <c:pt idx="22">
                  <c:v>490</c:v>
                </c:pt>
                <c:pt idx="23">
                  <c:v>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57-446F-9142-085E37A7B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242911"/>
        <c:axId val="92243391"/>
      </c:lineChart>
      <c:catAx>
        <c:axId val="92242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43391"/>
        <c:crosses val="autoZero"/>
        <c:auto val="1"/>
        <c:lblAlgn val="ctr"/>
        <c:lblOffset val="100"/>
        <c:noMultiLvlLbl val="0"/>
      </c:catAx>
      <c:valAx>
        <c:axId val="9224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4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'Marketing_Performance '!$B$1</c:f>
              <c:strCache>
                <c:ptCount val="1"/>
                <c:pt idx="0">
                  <c:v>Month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'Marketing_Performance '!$B$2:$B$44</c:f>
              <c:numCache>
                <c:formatCode>General</c:formatCode>
                <c:ptCount val="4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4">
                  <c:v>0</c:v>
                </c:pt>
                <c:pt idx="35">
                  <c:v>1531000</c:v>
                </c:pt>
                <c:pt idx="37">
                  <c:v>0</c:v>
                </c:pt>
                <c:pt idx="38">
                  <c:v>375000</c:v>
                </c:pt>
                <c:pt idx="40">
                  <c:v>0</c:v>
                </c:pt>
                <c:pt idx="41">
                  <c:v>65700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8D-4578-A832-597B42499CBB}"/>
            </c:ext>
          </c:extLst>
        </c:ser>
        <c:ser>
          <c:idx val="1"/>
          <c:order val="1"/>
          <c:tx>
            <c:strRef>
              <c:f>'Marketing_Performance '!$G$1</c:f>
              <c:strCache>
                <c:ptCount val="1"/>
                <c:pt idx="0">
                  <c:v>Revenue_EUR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'Marketing_Performance '!$G$2:$G$44</c:f>
              <c:numCache>
                <c:formatCode>General</c:formatCode>
                <c:ptCount val="43"/>
                <c:pt idx="0">
                  <c:v>48000</c:v>
                </c:pt>
                <c:pt idx="1">
                  <c:v>45000</c:v>
                </c:pt>
                <c:pt idx="2">
                  <c:v>52000</c:v>
                </c:pt>
                <c:pt idx="3">
                  <c:v>55000</c:v>
                </c:pt>
                <c:pt idx="4">
                  <c:v>60000</c:v>
                </c:pt>
                <c:pt idx="5">
                  <c:v>58500</c:v>
                </c:pt>
                <c:pt idx="6">
                  <c:v>63000</c:v>
                </c:pt>
                <c:pt idx="7">
                  <c:v>66000</c:v>
                </c:pt>
                <c:pt idx="8">
                  <c:v>70500</c:v>
                </c:pt>
                <c:pt idx="9">
                  <c:v>73500</c:v>
                </c:pt>
                <c:pt idx="10">
                  <c:v>68000</c:v>
                </c:pt>
                <c:pt idx="11">
                  <c:v>78000</c:v>
                </c:pt>
                <c:pt idx="12">
                  <c:v>49500</c:v>
                </c:pt>
                <c:pt idx="13">
                  <c:v>47000</c:v>
                </c:pt>
                <c:pt idx="14">
                  <c:v>57500</c:v>
                </c:pt>
                <c:pt idx="15">
                  <c:v>60000</c:v>
                </c:pt>
                <c:pt idx="16">
                  <c:v>65000</c:v>
                </c:pt>
                <c:pt idx="17">
                  <c:v>63000</c:v>
                </c:pt>
                <c:pt idx="18">
                  <c:v>68000</c:v>
                </c:pt>
                <c:pt idx="19">
                  <c:v>71000</c:v>
                </c:pt>
                <c:pt idx="20">
                  <c:v>76000</c:v>
                </c:pt>
                <c:pt idx="21">
                  <c:v>79000</c:v>
                </c:pt>
                <c:pt idx="22">
                  <c:v>73500</c:v>
                </c:pt>
                <c:pt idx="23">
                  <c:v>84000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8D-4578-A832-597B42499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4538367"/>
        <c:axId val="294539327"/>
      </c:lineChart>
      <c:catAx>
        <c:axId val="294538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539327"/>
        <c:crosses val="autoZero"/>
        <c:auto val="1"/>
        <c:lblAlgn val="ctr"/>
        <c:lblOffset val="24"/>
        <c:noMultiLvlLbl val="0"/>
      </c:catAx>
      <c:valAx>
        <c:axId val="29453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53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'Marketing_Performance '!$B$1</c:f>
              <c:strCache>
                <c:ptCount val="1"/>
                <c:pt idx="0">
                  <c:v>Month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'Marketing_Performance '!$B$2:$B$25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25-4B59-9AE9-561968F96324}"/>
            </c:ext>
          </c:extLst>
        </c:ser>
        <c:ser>
          <c:idx val="1"/>
          <c:order val="1"/>
          <c:tx>
            <c:strRef>
              <c:f>'Marketing_Performance '!$G$1</c:f>
              <c:strCache>
                <c:ptCount val="1"/>
                <c:pt idx="0">
                  <c:v>Revenue_EUR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'Marketing_Performance '!$G$2:$G$25</c:f>
              <c:numCache>
                <c:formatCode>General</c:formatCode>
                <c:ptCount val="24"/>
                <c:pt idx="0">
                  <c:v>48000</c:v>
                </c:pt>
                <c:pt idx="1">
                  <c:v>45000</c:v>
                </c:pt>
                <c:pt idx="2">
                  <c:v>52000</c:v>
                </c:pt>
                <c:pt idx="3">
                  <c:v>55000</c:v>
                </c:pt>
                <c:pt idx="4">
                  <c:v>60000</c:v>
                </c:pt>
                <c:pt idx="5">
                  <c:v>58500</c:v>
                </c:pt>
                <c:pt idx="6">
                  <c:v>63000</c:v>
                </c:pt>
                <c:pt idx="7">
                  <c:v>66000</c:v>
                </c:pt>
                <c:pt idx="8">
                  <c:v>70500</c:v>
                </c:pt>
                <c:pt idx="9">
                  <c:v>73500</c:v>
                </c:pt>
                <c:pt idx="10">
                  <c:v>68000</c:v>
                </c:pt>
                <c:pt idx="11">
                  <c:v>78000</c:v>
                </c:pt>
                <c:pt idx="12">
                  <c:v>49500</c:v>
                </c:pt>
                <c:pt idx="13">
                  <c:v>47000</c:v>
                </c:pt>
                <c:pt idx="14">
                  <c:v>57500</c:v>
                </c:pt>
                <c:pt idx="15">
                  <c:v>60000</c:v>
                </c:pt>
                <c:pt idx="16">
                  <c:v>65000</c:v>
                </c:pt>
                <c:pt idx="17">
                  <c:v>63000</c:v>
                </c:pt>
                <c:pt idx="18">
                  <c:v>68000</c:v>
                </c:pt>
                <c:pt idx="19">
                  <c:v>71000</c:v>
                </c:pt>
                <c:pt idx="20">
                  <c:v>76000</c:v>
                </c:pt>
                <c:pt idx="21">
                  <c:v>79000</c:v>
                </c:pt>
                <c:pt idx="22">
                  <c:v>73500</c:v>
                </c:pt>
                <c:pt idx="23">
                  <c:v>84000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25-4B59-9AE9-561968F96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224911"/>
        <c:axId val="412249391"/>
      </c:lineChart>
      <c:catAx>
        <c:axId val="412224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249391"/>
        <c:crosses val="autoZero"/>
        <c:auto val="1"/>
        <c:lblAlgn val="ctr"/>
        <c:lblOffset val="100"/>
        <c:noMultiLvlLbl val="0"/>
      </c:catAx>
      <c:valAx>
        <c:axId val="41224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22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'Marketing_Performance '!$B$1</c:f>
              <c:strCache>
                <c:ptCount val="1"/>
                <c:pt idx="0">
                  <c:v>Month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'Marketing_Performance '!$B$2:$B$25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07-4CB3-B98B-E22BA650C27D}"/>
            </c:ext>
          </c:extLst>
        </c:ser>
        <c:ser>
          <c:idx val="1"/>
          <c:order val="1"/>
          <c:tx>
            <c:strRef>
              <c:f>'Marketing_Performance '!$C$1</c:f>
              <c:strCache>
                <c:ptCount val="1"/>
                <c:pt idx="0">
                  <c:v>Website_Sessions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'Marketing_Performance '!$C$2:$C$25</c:f>
              <c:numCache>
                <c:formatCode>General</c:formatCode>
                <c:ptCount val="24"/>
                <c:pt idx="0">
                  <c:v>42000</c:v>
                </c:pt>
                <c:pt idx="1">
                  <c:v>39000</c:v>
                </c:pt>
                <c:pt idx="2">
                  <c:v>46000</c:v>
                </c:pt>
                <c:pt idx="3">
                  <c:v>48000</c:v>
                </c:pt>
                <c:pt idx="4">
                  <c:v>52000</c:v>
                </c:pt>
                <c:pt idx="5">
                  <c:v>50000</c:v>
                </c:pt>
                <c:pt idx="6">
                  <c:v>54000</c:v>
                </c:pt>
                <c:pt idx="7">
                  <c:v>56000</c:v>
                </c:pt>
                <c:pt idx="8">
                  <c:v>59000</c:v>
                </c:pt>
                <c:pt idx="9">
                  <c:v>61000</c:v>
                </c:pt>
                <c:pt idx="10">
                  <c:v>58000</c:v>
                </c:pt>
                <c:pt idx="11">
                  <c:v>65000</c:v>
                </c:pt>
                <c:pt idx="12">
                  <c:v>46000</c:v>
                </c:pt>
                <c:pt idx="13">
                  <c:v>44000</c:v>
                </c:pt>
                <c:pt idx="14">
                  <c:v>51000</c:v>
                </c:pt>
                <c:pt idx="15">
                  <c:v>53000</c:v>
                </c:pt>
                <c:pt idx="16">
                  <c:v>57000</c:v>
                </c:pt>
                <c:pt idx="17">
                  <c:v>55000</c:v>
                </c:pt>
                <c:pt idx="18">
                  <c:v>59000</c:v>
                </c:pt>
                <c:pt idx="19">
                  <c:v>61000</c:v>
                </c:pt>
                <c:pt idx="20">
                  <c:v>64000</c:v>
                </c:pt>
                <c:pt idx="21">
                  <c:v>66000</c:v>
                </c:pt>
                <c:pt idx="22">
                  <c:v>62000</c:v>
                </c:pt>
                <c:pt idx="23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07-4CB3-B98B-E22BA650C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7256095"/>
        <c:axId val="294386303"/>
      </c:lineChart>
      <c:lineChart>
        <c:grouping val="standard"/>
        <c:varyColors val="0"/>
        <c:ser>
          <c:idx val="2"/>
          <c:order val="2"/>
          <c:tx>
            <c:strRef>
              <c:f>'Marketing_Performance '!$F$1</c:f>
              <c:strCache>
                <c:ptCount val="1"/>
                <c:pt idx="0">
                  <c:v>Conversions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'Marketing_Performance '!$F$2:$F$25</c:f>
              <c:numCache>
                <c:formatCode>General</c:formatCode>
                <c:ptCount val="24"/>
                <c:pt idx="0">
                  <c:v>320</c:v>
                </c:pt>
                <c:pt idx="1">
                  <c:v>300</c:v>
                </c:pt>
                <c:pt idx="2">
                  <c:v>350</c:v>
                </c:pt>
                <c:pt idx="3">
                  <c:v>365</c:v>
                </c:pt>
                <c:pt idx="4">
                  <c:v>400</c:v>
                </c:pt>
                <c:pt idx="5">
                  <c:v>390</c:v>
                </c:pt>
                <c:pt idx="6">
                  <c:v>420</c:v>
                </c:pt>
                <c:pt idx="7">
                  <c:v>440</c:v>
                </c:pt>
                <c:pt idx="8">
                  <c:v>470</c:v>
                </c:pt>
                <c:pt idx="9">
                  <c:v>490</c:v>
                </c:pt>
                <c:pt idx="10">
                  <c:v>455</c:v>
                </c:pt>
                <c:pt idx="11">
                  <c:v>520</c:v>
                </c:pt>
                <c:pt idx="12">
                  <c:v>330</c:v>
                </c:pt>
                <c:pt idx="13">
                  <c:v>315</c:v>
                </c:pt>
                <c:pt idx="14">
                  <c:v>385</c:v>
                </c:pt>
                <c:pt idx="15">
                  <c:v>400</c:v>
                </c:pt>
                <c:pt idx="16">
                  <c:v>435</c:v>
                </c:pt>
                <c:pt idx="17">
                  <c:v>420</c:v>
                </c:pt>
                <c:pt idx="18">
                  <c:v>455</c:v>
                </c:pt>
                <c:pt idx="19">
                  <c:v>475</c:v>
                </c:pt>
                <c:pt idx="20">
                  <c:v>505</c:v>
                </c:pt>
                <c:pt idx="21">
                  <c:v>525</c:v>
                </c:pt>
                <c:pt idx="22">
                  <c:v>490</c:v>
                </c:pt>
                <c:pt idx="23">
                  <c:v>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07-4CB3-B98B-E22BA650C27D}"/>
            </c:ext>
          </c:extLst>
        </c:ser>
        <c:ser>
          <c:idx val="3"/>
          <c:order val="3"/>
          <c:tx>
            <c:v>ConversionRate</c:v>
          </c:tx>
          <c:spPr>
            <a:ln w="28575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8007-4CB3-B98B-E22BA650C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225391"/>
        <c:axId val="412246991"/>
      </c:lineChart>
      <c:catAx>
        <c:axId val="108725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386303"/>
        <c:crosses val="autoZero"/>
        <c:auto val="1"/>
        <c:lblAlgn val="ctr"/>
        <c:lblOffset val="100"/>
        <c:noMultiLvlLbl val="0"/>
      </c:catAx>
      <c:valAx>
        <c:axId val="29438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256095"/>
        <c:crosses val="autoZero"/>
        <c:crossBetween val="between"/>
      </c:valAx>
      <c:valAx>
        <c:axId val="41224699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225391"/>
        <c:crosses val="max"/>
        <c:crossBetween val="between"/>
      </c:valAx>
      <c:catAx>
        <c:axId val="412225391"/>
        <c:scaling>
          <c:orientation val="minMax"/>
        </c:scaling>
        <c:delete val="1"/>
        <c:axPos val="b"/>
        <c:majorTickMark val="out"/>
        <c:minorTickMark val="none"/>
        <c:tickLblPos val="nextTo"/>
        <c:crossAx val="4122469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alpha val="99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Conversion And Funnel Performance</a:t>
            </a:r>
          </a:p>
        </c:rich>
      </c:tx>
      <c:layout>
        <c:manualLayout>
          <c:xMode val="edge"/>
          <c:yMode val="edge"/>
          <c:x val="0.25583319888435574"/>
          <c:y val="4.16667840193772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alpha val="99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2080671"/>
        <c:axId val="27208451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'Marketing_Performance '!$B$1</c15:sqref>
                        </c15:formulaRef>
                      </c:ext>
                    </c:extLst>
                    <c:strCache>
                      <c:ptCount val="1"/>
                      <c:pt idx="0">
                        <c:v>Month Index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'Marketing_Performance '!$B$2:$B$25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1A0-4CAE-9C7F-E2F2C51D80D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strRef>
              <c:f>'Marketing_Performance '!$C$1</c:f>
              <c:strCache>
                <c:ptCount val="1"/>
                <c:pt idx="0">
                  <c:v>Website_Sessions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'Marketing_Performance '!$C$2:$C$25</c:f>
              <c:numCache>
                <c:formatCode>General</c:formatCode>
                <c:ptCount val="24"/>
                <c:pt idx="0">
                  <c:v>42000</c:v>
                </c:pt>
                <c:pt idx="1">
                  <c:v>39000</c:v>
                </c:pt>
                <c:pt idx="2">
                  <c:v>46000</c:v>
                </c:pt>
                <c:pt idx="3">
                  <c:v>48000</c:v>
                </c:pt>
                <c:pt idx="4">
                  <c:v>52000</c:v>
                </c:pt>
                <c:pt idx="5">
                  <c:v>50000</c:v>
                </c:pt>
                <c:pt idx="6">
                  <c:v>54000</c:v>
                </c:pt>
                <c:pt idx="7">
                  <c:v>56000</c:v>
                </c:pt>
                <c:pt idx="8">
                  <c:v>59000</c:v>
                </c:pt>
                <c:pt idx="9">
                  <c:v>61000</c:v>
                </c:pt>
                <c:pt idx="10">
                  <c:v>58000</c:v>
                </c:pt>
                <c:pt idx="11">
                  <c:v>65000</c:v>
                </c:pt>
                <c:pt idx="12">
                  <c:v>46000</c:v>
                </c:pt>
                <c:pt idx="13">
                  <c:v>44000</c:v>
                </c:pt>
                <c:pt idx="14">
                  <c:v>51000</c:v>
                </c:pt>
                <c:pt idx="15">
                  <c:v>53000</c:v>
                </c:pt>
                <c:pt idx="16">
                  <c:v>57000</c:v>
                </c:pt>
                <c:pt idx="17">
                  <c:v>55000</c:v>
                </c:pt>
                <c:pt idx="18">
                  <c:v>59000</c:v>
                </c:pt>
                <c:pt idx="19">
                  <c:v>61000</c:v>
                </c:pt>
                <c:pt idx="20">
                  <c:v>64000</c:v>
                </c:pt>
                <c:pt idx="21">
                  <c:v>66000</c:v>
                </c:pt>
                <c:pt idx="22">
                  <c:v>62000</c:v>
                </c:pt>
                <c:pt idx="23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0-4CAE-9C7F-E2F2C51D8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080671"/>
        <c:axId val="272084511"/>
      </c:lineChart>
      <c:lineChart>
        <c:grouping val="standard"/>
        <c:varyColors val="0"/>
        <c:ser>
          <c:idx val="2"/>
          <c:order val="2"/>
          <c:tx>
            <c:strRef>
              <c:f>'Marketing_Performance '!$F$1</c:f>
              <c:strCache>
                <c:ptCount val="1"/>
                <c:pt idx="0">
                  <c:v>Conversions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'Marketing_Performance '!$F$2:$F$25</c:f>
              <c:numCache>
                <c:formatCode>General</c:formatCode>
                <c:ptCount val="24"/>
                <c:pt idx="0">
                  <c:v>320</c:v>
                </c:pt>
                <c:pt idx="1">
                  <c:v>300</c:v>
                </c:pt>
                <c:pt idx="2">
                  <c:v>350</c:v>
                </c:pt>
                <c:pt idx="3">
                  <c:v>365</c:v>
                </c:pt>
                <c:pt idx="4">
                  <c:v>400</c:v>
                </c:pt>
                <c:pt idx="5">
                  <c:v>390</c:v>
                </c:pt>
                <c:pt idx="6">
                  <c:v>420</c:v>
                </c:pt>
                <c:pt idx="7">
                  <c:v>440</c:v>
                </c:pt>
                <c:pt idx="8">
                  <c:v>470</c:v>
                </c:pt>
                <c:pt idx="9">
                  <c:v>490</c:v>
                </c:pt>
                <c:pt idx="10">
                  <c:v>455</c:v>
                </c:pt>
                <c:pt idx="11">
                  <c:v>520</c:v>
                </c:pt>
                <c:pt idx="12">
                  <c:v>330</c:v>
                </c:pt>
                <c:pt idx="13">
                  <c:v>315</c:v>
                </c:pt>
                <c:pt idx="14">
                  <c:v>385</c:v>
                </c:pt>
                <c:pt idx="15">
                  <c:v>400</c:v>
                </c:pt>
                <c:pt idx="16">
                  <c:v>435</c:v>
                </c:pt>
                <c:pt idx="17">
                  <c:v>420</c:v>
                </c:pt>
                <c:pt idx="18">
                  <c:v>455</c:v>
                </c:pt>
                <c:pt idx="19">
                  <c:v>475</c:v>
                </c:pt>
                <c:pt idx="20">
                  <c:v>505</c:v>
                </c:pt>
                <c:pt idx="21">
                  <c:v>525</c:v>
                </c:pt>
                <c:pt idx="22">
                  <c:v>490</c:v>
                </c:pt>
                <c:pt idx="23">
                  <c:v>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A0-4CAE-9C7F-E2F2C51D80DF}"/>
            </c:ext>
          </c:extLst>
        </c:ser>
        <c:ser>
          <c:idx val="3"/>
          <c:order val="3"/>
          <c:tx>
            <c:strRef>
              <c:f>'Marketing_Performance '!$I$1</c:f>
              <c:strCache>
                <c:ptCount val="1"/>
                <c:pt idx="0">
                  <c:v>ConversionRate</c:v>
                </c:pt>
              </c:strCache>
            </c:strRef>
          </c:tx>
          <c:spPr>
            <a:ln w="28575" cap="rnd">
              <a:solidFill>
                <a:schemeClr val="accent4">
                  <a:alpha val="97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'Marketing_Performance '!$I$2:$I$25</c:f>
              <c:numCache>
                <c:formatCode>0.00%</c:formatCode>
                <c:ptCount val="24"/>
                <c:pt idx="0">
                  <c:v>7.619047619047619E-3</c:v>
                </c:pt>
                <c:pt idx="1">
                  <c:v>7.6923076923076927E-3</c:v>
                </c:pt>
                <c:pt idx="2">
                  <c:v>7.6086956521739134E-3</c:v>
                </c:pt>
                <c:pt idx="3">
                  <c:v>7.6041666666666671E-3</c:v>
                </c:pt>
                <c:pt idx="4">
                  <c:v>7.6923076923076927E-3</c:v>
                </c:pt>
                <c:pt idx="5">
                  <c:v>7.7999999999999996E-3</c:v>
                </c:pt>
                <c:pt idx="6">
                  <c:v>7.7777777777777776E-3</c:v>
                </c:pt>
                <c:pt idx="7">
                  <c:v>7.8571428571428577E-3</c:v>
                </c:pt>
                <c:pt idx="8">
                  <c:v>7.9661016949152536E-3</c:v>
                </c:pt>
                <c:pt idx="9">
                  <c:v>8.032786885245901E-3</c:v>
                </c:pt>
                <c:pt idx="10">
                  <c:v>7.8448275862068959E-3</c:v>
                </c:pt>
                <c:pt idx="11">
                  <c:v>8.0000000000000002E-3</c:v>
                </c:pt>
                <c:pt idx="12">
                  <c:v>7.1739130434782606E-3</c:v>
                </c:pt>
                <c:pt idx="13">
                  <c:v>7.1590909090909092E-3</c:v>
                </c:pt>
                <c:pt idx="14">
                  <c:v>7.5490196078431375E-3</c:v>
                </c:pt>
                <c:pt idx="15">
                  <c:v>7.5471698113207548E-3</c:v>
                </c:pt>
                <c:pt idx="16">
                  <c:v>7.6315789473684207E-3</c:v>
                </c:pt>
                <c:pt idx="17">
                  <c:v>7.6363636363636364E-3</c:v>
                </c:pt>
                <c:pt idx="18">
                  <c:v>7.7118644067796609E-3</c:v>
                </c:pt>
                <c:pt idx="19">
                  <c:v>7.7868852459016397E-3</c:v>
                </c:pt>
                <c:pt idx="20">
                  <c:v>7.8906250000000001E-3</c:v>
                </c:pt>
                <c:pt idx="21">
                  <c:v>7.9545454545454537E-3</c:v>
                </c:pt>
                <c:pt idx="22">
                  <c:v>7.9032258064516137E-3</c:v>
                </c:pt>
                <c:pt idx="23">
                  <c:v>8.0000000000000002E-3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A0-4CAE-9C7F-E2F2C51D8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498239"/>
        <c:axId val="269500639"/>
      </c:lineChart>
      <c:catAx>
        <c:axId val="272080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alpha val="99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alpha val="99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alpha val="99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4511"/>
        <c:crosses val="autoZero"/>
        <c:auto val="1"/>
        <c:lblAlgn val="ctr"/>
        <c:lblOffset val="100"/>
        <c:noMultiLvlLbl val="0"/>
      </c:catAx>
      <c:valAx>
        <c:axId val="27208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alpha val="99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Website Session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alpha val="99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alpha val="99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0671"/>
        <c:crosses val="autoZero"/>
        <c:crossBetween val="between"/>
      </c:valAx>
      <c:valAx>
        <c:axId val="26950063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alpha val="99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Conversion/conversion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alpha val="99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alpha val="99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498239"/>
        <c:crosses val="max"/>
        <c:crossBetween val="between"/>
      </c:valAx>
      <c:catAx>
        <c:axId val="269498239"/>
        <c:scaling>
          <c:orientation val="minMax"/>
        </c:scaling>
        <c:delete val="1"/>
        <c:axPos val="b"/>
        <c:majorTickMark val="out"/>
        <c:minorTickMark val="none"/>
        <c:tickLblPos val="nextTo"/>
        <c:crossAx val="2695006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alpha val="99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alpha val="99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Vs. Ad spend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'Marketing_Performance '!$D$1</c:f>
              <c:strCache>
                <c:ptCount val="1"/>
                <c:pt idx="0">
                  <c:v>Ad_Spend_EUR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'Marketing_Performance '!$D$2:$D$25</c:f>
              <c:numCache>
                <c:formatCode>General</c:formatCode>
                <c:ptCount val="24"/>
                <c:pt idx="0">
                  <c:v>12000</c:v>
                </c:pt>
                <c:pt idx="1">
                  <c:v>11000</c:v>
                </c:pt>
                <c:pt idx="2">
                  <c:v>13000</c:v>
                </c:pt>
                <c:pt idx="3">
                  <c:v>14000</c:v>
                </c:pt>
                <c:pt idx="4">
                  <c:v>15000</c:v>
                </c:pt>
                <c:pt idx="5">
                  <c:v>14500</c:v>
                </c:pt>
                <c:pt idx="6">
                  <c:v>15500</c:v>
                </c:pt>
                <c:pt idx="7">
                  <c:v>16000</c:v>
                </c:pt>
                <c:pt idx="8">
                  <c:v>17000</c:v>
                </c:pt>
                <c:pt idx="9">
                  <c:v>17500</c:v>
                </c:pt>
                <c:pt idx="10">
                  <c:v>16500</c:v>
                </c:pt>
                <c:pt idx="11">
                  <c:v>19000</c:v>
                </c:pt>
                <c:pt idx="12">
                  <c:v>13000</c:v>
                </c:pt>
                <c:pt idx="13">
                  <c:v>12500</c:v>
                </c:pt>
                <c:pt idx="14">
                  <c:v>14500</c:v>
                </c:pt>
                <c:pt idx="15">
                  <c:v>15000</c:v>
                </c:pt>
                <c:pt idx="16">
                  <c:v>16000</c:v>
                </c:pt>
                <c:pt idx="17">
                  <c:v>15500</c:v>
                </c:pt>
                <c:pt idx="18">
                  <c:v>16500</c:v>
                </c:pt>
                <c:pt idx="19">
                  <c:v>17000</c:v>
                </c:pt>
                <c:pt idx="20">
                  <c:v>18000</c:v>
                </c:pt>
                <c:pt idx="21">
                  <c:v>18500</c:v>
                </c:pt>
                <c:pt idx="22">
                  <c:v>17500</c:v>
                </c:pt>
                <c:pt idx="2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43-47C9-9237-8510832FD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4284719"/>
        <c:axId val="59427895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'Marketing_Performance '!$B$1</c15:sqref>
                        </c15:formulaRef>
                      </c:ext>
                    </c:extLst>
                    <c:strCache>
                      <c:ptCount val="1"/>
                      <c:pt idx="0">
                        <c:v>Month Index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'Marketing_Performance '!$B$2:$B$25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943-47C9-9237-8510832FD21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'Marketing_Performance '!$G$1</c:f>
              <c:strCache>
                <c:ptCount val="1"/>
                <c:pt idx="0">
                  <c:v>Revenue_EUR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'Marketing_Performance '!$G$2:$G$25</c:f>
              <c:numCache>
                <c:formatCode>General</c:formatCode>
                <c:ptCount val="24"/>
                <c:pt idx="0">
                  <c:v>48000</c:v>
                </c:pt>
                <c:pt idx="1">
                  <c:v>45000</c:v>
                </c:pt>
                <c:pt idx="2">
                  <c:v>52000</c:v>
                </c:pt>
                <c:pt idx="3">
                  <c:v>55000</c:v>
                </c:pt>
                <c:pt idx="4">
                  <c:v>60000</c:v>
                </c:pt>
                <c:pt idx="5">
                  <c:v>58500</c:v>
                </c:pt>
                <c:pt idx="6">
                  <c:v>63000</c:v>
                </c:pt>
                <c:pt idx="7">
                  <c:v>66000</c:v>
                </c:pt>
                <c:pt idx="8">
                  <c:v>70500</c:v>
                </c:pt>
                <c:pt idx="9">
                  <c:v>73500</c:v>
                </c:pt>
                <c:pt idx="10">
                  <c:v>68000</c:v>
                </c:pt>
                <c:pt idx="11">
                  <c:v>78000</c:v>
                </c:pt>
                <c:pt idx="12">
                  <c:v>49500</c:v>
                </c:pt>
                <c:pt idx="13">
                  <c:v>47000</c:v>
                </c:pt>
                <c:pt idx="14">
                  <c:v>57500</c:v>
                </c:pt>
                <c:pt idx="15">
                  <c:v>60000</c:v>
                </c:pt>
                <c:pt idx="16">
                  <c:v>65000</c:v>
                </c:pt>
                <c:pt idx="17">
                  <c:v>63000</c:v>
                </c:pt>
                <c:pt idx="18">
                  <c:v>68000</c:v>
                </c:pt>
                <c:pt idx="19">
                  <c:v>71000</c:v>
                </c:pt>
                <c:pt idx="20">
                  <c:v>76000</c:v>
                </c:pt>
                <c:pt idx="21">
                  <c:v>79000</c:v>
                </c:pt>
                <c:pt idx="22">
                  <c:v>73500</c:v>
                </c:pt>
                <c:pt idx="23">
                  <c:v>84000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43-47C9-9237-8510832FD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289039"/>
        <c:axId val="594276559"/>
      </c:lineChart>
      <c:catAx>
        <c:axId val="594284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78959"/>
        <c:crosses val="autoZero"/>
        <c:auto val="1"/>
        <c:lblAlgn val="ctr"/>
        <c:lblOffset val="100"/>
        <c:noMultiLvlLbl val="0"/>
      </c:catAx>
      <c:valAx>
        <c:axId val="59427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</a:t>
                </a:r>
                <a:r>
                  <a:rPr lang="en-GB" baseline="0"/>
                  <a:t> spend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84719"/>
        <c:crosses val="autoZero"/>
        <c:crossBetween val="between"/>
      </c:valAx>
      <c:valAx>
        <c:axId val="59427655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89039"/>
        <c:crosses val="max"/>
        <c:crossBetween val="between"/>
      </c:valAx>
      <c:catAx>
        <c:axId val="594289039"/>
        <c:scaling>
          <c:orientation val="minMax"/>
        </c:scaling>
        <c:delete val="1"/>
        <c:axPos val="b"/>
        <c:majorTickMark val="none"/>
        <c:minorTickMark val="none"/>
        <c:tickLblPos val="nextTo"/>
        <c:crossAx val="5942765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Conversion</a:t>
            </a:r>
            <a:r>
              <a:rPr lang="en-GB" baseline="0"/>
              <a:t> Rate Trend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'Marketing_Performance '!$I$1</c:f>
              <c:strCache>
                <c:ptCount val="1"/>
                <c:pt idx="0">
                  <c:v>ConversionRate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'Marketing_Performance '!$I$2:$I$25</c:f>
              <c:numCache>
                <c:formatCode>0.00%</c:formatCode>
                <c:ptCount val="24"/>
                <c:pt idx="0">
                  <c:v>7.619047619047619E-3</c:v>
                </c:pt>
                <c:pt idx="1">
                  <c:v>7.6923076923076927E-3</c:v>
                </c:pt>
                <c:pt idx="2">
                  <c:v>7.6086956521739134E-3</c:v>
                </c:pt>
                <c:pt idx="3">
                  <c:v>7.6041666666666671E-3</c:v>
                </c:pt>
                <c:pt idx="4">
                  <c:v>7.6923076923076927E-3</c:v>
                </c:pt>
                <c:pt idx="5">
                  <c:v>7.7999999999999996E-3</c:v>
                </c:pt>
                <c:pt idx="6">
                  <c:v>7.7777777777777776E-3</c:v>
                </c:pt>
                <c:pt idx="7">
                  <c:v>7.8571428571428577E-3</c:v>
                </c:pt>
                <c:pt idx="8">
                  <c:v>7.9661016949152536E-3</c:v>
                </c:pt>
                <c:pt idx="9">
                  <c:v>8.032786885245901E-3</c:v>
                </c:pt>
                <c:pt idx="10">
                  <c:v>7.8448275862068959E-3</c:v>
                </c:pt>
                <c:pt idx="11">
                  <c:v>8.0000000000000002E-3</c:v>
                </c:pt>
                <c:pt idx="12">
                  <c:v>7.1739130434782606E-3</c:v>
                </c:pt>
                <c:pt idx="13">
                  <c:v>7.1590909090909092E-3</c:v>
                </c:pt>
                <c:pt idx="14">
                  <c:v>7.5490196078431375E-3</c:v>
                </c:pt>
                <c:pt idx="15">
                  <c:v>7.5471698113207548E-3</c:v>
                </c:pt>
                <c:pt idx="16">
                  <c:v>7.6315789473684207E-3</c:v>
                </c:pt>
                <c:pt idx="17">
                  <c:v>7.6363636363636364E-3</c:v>
                </c:pt>
                <c:pt idx="18">
                  <c:v>7.7118644067796609E-3</c:v>
                </c:pt>
                <c:pt idx="19">
                  <c:v>7.7868852459016397E-3</c:v>
                </c:pt>
                <c:pt idx="20">
                  <c:v>7.8906250000000001E-3</c:v>
                </c:pt>
                <c:pt idx="21">
                  <c:v>7.9545454545454537E-3</c:v>
                </c:pt>
                <c:pt idx="22">
                  <c:v>7.9032258064516137E-3</c:v>
                </c:pt>
                <c:pt idx="23">
                  <c:v>8.0000000000000002E-3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3F-402A-8970-8158A1588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999423"/>
        <c:axId val="38600326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'Marketing_Performance '!$B$1</c15:sqref>
                        </c15:formulaRef>
                      </c:ext>
                    </c:extLst>
                    <c:strCache>
                      <c:ptCount val="1"/>
                      <c:pt idx="0">
                        <c:v>Month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'Marketing_Performance '!$B$2:$B$25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73F-402A-8970-8158A1588ED2}"/>
                  </c:ext>
                </c:extLst>
              </c15:ser>
            </c15:filteredLineSeries>
          </c:ext>
        </c:extLst>
      </c:lineChart>
      <c:catAx>
        <c:axId val="385999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  <a:r>
                  <a:rPr lang="en-GB" baseline="0"/>
                  <a:t> Index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003263"/>
        <c:crosses val="autoZero"/>
        <c:auto val="1"/>
        <c:lblAlgn val="ctr"/>
        <c:lblOffset val="100"/>
        <c:noMultiLvlLbl val="0"/>
      </c:catAx>
      <c:valAx>
        <c:axId val="386003263"/>
        <c:scaling>
          <c:orientation val="minMax"/>
          <c:max val="1.0000000000000002E-2"/>
          <c:min val="6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Conversion</a:t>
                </a:r>
                <a:r>
                  <a:rPr lang="en-GB" baseline="0"/>
                  <a:t> Rate(%)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999423"/>
        <c:crosses val="autoZero"/>
        <c:crossBetween val="between"/>
        <c:majorUnit val="1.0000000000000002E-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Website</a:t>
            </a:r>
            <a:r>
              <a:rPr lang="en-GB" baseline="0"/>
              <a:t> Session Vs. Conversion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4272719"/>
        <c:axId val="5942808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'Marketing_Performance '!$B$1</c15:sqref>
                        </c15:formulaRef>
                      </c:ext>
                    </c:extLst>
                    <c:strCache>
                      <c:ptCount val="1"/>
                      <c:pt idx="0">
                        <c:v>Month Index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'Marketing_Performance '!$B$2:$B$25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FF6-4B73-8C3C-5C6D373C3497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1"/>
          <c:order val="1"/>
          <c:tx>
            <c:strRef>
              <c:f>'Marketing_Performance '!$C$1</c:f>
              <c:strCache>
                <c:ptCount val="1"/>
                <c:pt idx="0">
                  <c:v>Website_Sessions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'Marketing_Performance '!$C$2:$C$25</c:f>
              <c:numCache>
                <c:formatCode>General</c:formatCode>
                <c:ptCount val="24"/>
                <c:pt idx="0">
                  <c:v>42000</c:v>
                </c:pt>
                <c:pt idx="1">
                  <c:v>39000</c:v>
                </c:pt>
                <c:pt idx="2">
                  <c:v>46000</c:v>
                </c:pt>
                <c:pt idx="3">
                  <c:v>48000</c:v>
                </c:pt>
                <c:pt idx="4">
                  <c:v>52000</c:v>
                </c:pt>
                <c:pt idx="5">
                  <c:v>50000</c:v>
                </c:pt>
                <c:pt idx="6">
                  <c:v>54000</c:v>
                </c:pt>
                <c:pt idx="7">
                  <c:v>56000</c:v>
                </c:pt>
                <c:pt idx="8">
                  <c:v>59000</c:v>
                </c:pt>
                <c:pt idx="9">
                  <c:v>61000</c:v>
                </c:pt>
                <c:pt idx="10">
                  <c:v>58000</c:v>
                </c:pt>
                <c:pt idx="11">
                  <c:v>65000</c:v>
                </c:pt>
                <c:pt idx="12">
                  <c:v>46000</c:v>
                </c:pt>
                <c:pt idx="13">
                  <c:v>44000</c:v>
                </c:pt>
                <c:pt idx="14">
                  <c:v>51000</c:v>
                </c:pt>
                <c:pt idx="15">
                  <c:v>53000</c:v>
                </c:pt>
                <c:pt idx="16">
                  <c:v>57000</c:v>
                </c:pt>
                <c:pt idx="17">
                  <c:v>55000</c:v>
                </c:pt>
                <c:pt idx="18">
                  <c:v>59000</c:v>
                </c:pt>
                <c:pt idx="19">
                  <c:v>61000</c:v>
                </c:pt>
                <c:pt idx="20">
                  <c:v>64000</c:v>
                </c:pt>
                <c:pt idx="21">
                  <c:v>66000</c:v>
                </c:pt>
                <c:pt idx="22">
                  <c:v>62000</c:v>
                </c:pt>
                <c:pt idx="23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F6-4B73-8C3C-5C6D373C3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272719"/>
        <c:axId val="594280879"/>
      </c:lineChart>
      <c:lineChart>
        <c:grouping val="stacked"/>
        <c:varyColors val="0"/>
        <c:ser>
          <c:idx val="2"/>
          <c:order val="2"/>
          <c:tx>
            <c:strRef>
              <c:f>'Marketing_Performance '!$F$1</c:f>
              <c:strCache>
                <c:ptCount val="1"/>
                <c:pt idx="0">
                  <c:v>Conversions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'Marketing_Performance '!$F$2:$F$25</c:f>
              <c:numCache>
                <c:formatCode>General</c:formatCode>
                <c:ptCount val="24"/>
                <c:pt idx="0">
                  <c:v>320</c:v>
                </c:pt>
                <c:pt idx="1">
                  <c:v>300</c:v>
                </c:pt>
                <c:pt idx="2">
                  <c:v>350</c:v>
                </c:pt>
                <c:pt idx="3">
                  <c:v>365</c:v>
                </c:pt>
                <c:pt idx="4">
                  <c:v>400</c:v>
                </c:pt>
                <c:pt idx="5">
                  <c:v>390</c:v>
                </c:pt>
                <c:pt idx="6">
                  <c:v>420</c:v>
                </c:pt>
                <c:pt idx="7">
                  <c:v>440</c:v>
                </c:pt>
                <c:pt idx="8">
                  <c:v>470</c:v>
                </c:pt>
                <c:pt idx="9">
                  <c:v>490</c:v>
                </c:pt>
                <c:pt idx="10">
                  <c:v>455</c:v>
                </c:pt>
                <c:pt idx="11">
                  <c:v>520</c:v>
                </c:pt>
                <c:pt idx="12">
                  <c:v>330</c:v>
                </c:pt>
                <c:pt idx="13">
                  <c:v>315</c:v>
                </c:pt>
                <c:pt idx="14">
                  <c:v>385</c:v>
                </c:pt>
                <c:pt idx="15">
                  <c:v>400</c:v>
                </c:pt>
                <c:pt idx="16">
                  <c:v>435</c:v>
                </c:pt>
                <c:pt idx="17">
                  <c:v>420</c:v>
                </c:pt>
                <c:pt idx="18">
                  <c:v>455</c:v>
                </c:pt>
                <c:pt idx="19">
                  <c:v>475</c:v>
                </c:pt>
                <c:pt idx="20">
                  <c:v>505</c:v>
                </c:pt>
                <c:pt idx="21">
                  <c:v>525</c:v>
                </c:pt>
                <c:pt idx="22">
                  <c:v>490</c:v>
                </c:pt>
                <c:pt idx="23">
                  <c:v>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F6-4B73-8C3C-5C6D373C3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279919"/>
        <c:axId val="594277519"/>
      </c:lineChart>
      <c:catAx>
        <c:axId val="594272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  <a:r>
                  <a:rPr lang="en-GB" baseline="0"/>
                  <a:t> Index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80879"/>
        <c:crosses val="autoZero"/>
        <c:auto val="1"/>
        <c:lblAlgn val="ctr"/>
        <c:lblOffset val="100"/>
        <c:noMultiLvlLbl val="0"/>
      </c:catAx>
      <c:valAx>
        <c:axId val="59428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Website</a:t>
                </a:r>
                <a:r>
                  <a:rPr lang="en-GB" baseline="0"/>
                  <a:t> Sessions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72719"/>
        <c:crosses val="autoZero"/>
        <c:crossBetween val="between"/>
      </c:valAx>
      <c:valAx>
        <c:axId val="59427751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Conversion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79919"/>
        <c:crosses val="max"/>
        <c:crossBetween val="between"/>
      </c:valAx>
      <c:catAx>
        <c:axId val="594279919"/>
        <c:scaling>
          <c:orientation val="minMax"/>
        </c:scaling>
        <c:delete val="1"/>
        <c:axPos val="b"/>
        <c:majorTickMark val="out"/>
        <c:minorTickMark val="none"/>
        <c:tickLblPos val="nextTo"/>
        <c:crossAx val="5942775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Marketing ROI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'Marketing_Performance '!$J$1</c:f>
              <c:strCache>
                <c:ptCount val="1"/>
                <c:pt idx="0">
                  <c:v>ROI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val>
            <c:numRef>
              <c:f>'Marketing_Performance '!$J$2:$J$25</c:f>
              <c:numCache>
                <c:formatCode>0.0%</c:formatCode>
                <c:ptCount val="24"/>
                <c:pt idx="0">
                  <c:v>3</c:v>
                </c:pt>
                <c:pt idx="1">
                  <c:v>3.0909090909090908</c:v>
                </c:pt>
                <c:pt idx="2">
                  <c:v>3</c:v>
                </c:pt>
                <c:pt idx="3">
                  <c:v>2.9285714285714284</c:v>
                </c:pt>
                <c:pt idx="4">
                  <c:v>3</c:v>
                </c:pt>
                <c:pt idx="5">
                  <c:v>3.0344827586206895</c:v>
                </c:pt>
                <c:pt idx="6">
                  <c:v>3.064516129032258</c:v>
                </c:pt>
                <c:pt idx="7">
                  <c:v>3.125</c:v>
                </c:pt>
                <c:pt idx="8">
                  <c:v>3.1470588235294117</c:v>
                </c:pt>
                <c:pt idx="9">
                  <c:v>3.2</c:v>
                </c:pt>
                <c:pt idx="10">
                  <c:v>3.1212121212121211</c:v>
                </c:pt>
                <c:pt idx="11">
                  <c:v>3.1052631578947367</c:v>
                </c:pt>
                <c:pt idx="12">
                  <c:v>2.8076923076923075</c:v>
                </c:pt>
                <c:pt idx="13">
                  <c:v>2.76</c:v>
                </c:pt>
                <c:pt idx="14">
                  <c:v>2.9655172413793105</c:v>
                </c:pt>
                <c:pt idx="15">
                  <c:v>3</c:v>
                </c:pt>
                <c:pt idx="16">
                  <c:v>3.0625</c:v>
                </c:pt>
                <c:pt idx="17">
                  <c:v>3.064516129032258</c:v>
                </c:pt>
                <c:pt idx="18">
                  <c:v>3.1212121212121211</c:v>
                </c:pt>
                <c:pt idx="19">
                  <c:v>3.1764705882352939</c:v>
                </c:pt>
                <c:pt idx="20">
                  <c:v>3.2222222222222223</c:v>
                </c:pt>
                <c:pt idx="21">
                  <c:v>3.2702702702702702</c:v>
                </c:pt>
                <c:pt idx="22">
                  <c:v>3.2</c:v>
                </c:pt>
                <c:pt idx="23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BA-4F44-ABA7-56C992AF8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344015"/>
        <c:axId val="28633873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'Marketing_Performance '!$B$1</c15:sqref>
                        </c15:formulaRef>
                      </c:ext>
                    </c:extLst>
                    <c:strCache>
                      <c:ptCount val="1"/>
                      <c:pt idx="0">
                        <c:v>Month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'Marketing_Performance '!$B$2:$B$25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FBA-4F44-ABA7-56C992AF8A18}"/>
                  </c:ext>
                </c:extLst>
              </c15:ser>
            </c15:filteredLineSeries>
          </c:ext>
        </c:extLst>
      </c:lineChart>
      <c:catAx>
        <c:axId val="286344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  <a:r>
                  <a:rPr lang="en-GB" baseline="0"/>
                  <a:t> Index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38735"/>
        <c:crosses val="autoZero"/>
        <c:auto val="1"/>
        <c:lblAlgn val="ctr"/>
        <c:lblOffset val="100"/>
        <c:noMultiLvlLbl val="0"/>
      </c:catAx>
      <c:valAx>
        <c:axId val="286338735"/>
        <c:scaling>
          <c:orientation val="minMax"/>
          <c:max val="3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ROI(%)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44015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Vs. Ad spend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'Marketing_Performance '!$D$1</c:f>
              <c:strCache>
                <c:ptCount val="1"/>
                <c:pt idx="0">
                  <c:v>Ad_Spend_EUR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'Marketing_Performance '!$D$2:$D$25</c:f>
              <c:numCache>
                <c:formatCode>General</c:formatCode>
                <c:ptCount val="24"/>
                <c:pt idx="0">
                  <c:v>12000</c:v>
                </c:pt>
                <c:pt idx="1">
                  <c:v>11000</c:v>
                </c:pt>
                <c:pt idx="2">
                  <c:v>13000</c:v>
                </c:pt>
                <c:pt idx="3">
                  <c:v>14000</c:v>
                </c:pt>
                <c:pt idx="4">
                  <c:v>15000</c:v>
                </c:pt>
                <c:pt idx="5">
                  <c:v>14500</c:v>
                </c:pt>
                <c:pt idx="6">
                  <c:v>15500</c:v>
                </c:pt>
                <c:pt idx="7">
                  <c:v>16000</c:v>
                </c:pt>
                <c:pt idx="8">
                  <c:v>17000</c:v>
                </c:pt>
                <c:pt idx="9">
                  <c:v>17500</c:v>
                </c:pt>
                <c:pt idx="10">
                  <c:v>16500</c:v>
                </c:pt>
                <c:pt idx="11">
                  <c:v>19000</c:v>
                </c:pt>
                <c:pt idx="12">
                  <c:v>13000</c:v>
                </c:pt>
                <c:pt idx="13">
                  <c:v>12500</c:v>
                </c:pt>
                <c:pt idx="14">
                  <c:v>14500</c:v>
                </c:pt>
                <c:pt idx="15">
                  <c:v>15000</c:v>
                </c:pt>
                <c:pt idx="16">
                  <c:v>16000</c:v>
                </c:pt>
                <c:pt idx="17">
                  <c:v>15500</c:v>
                </c:pt>
                <c:pt idx="18">
                  <c:v>16500</c:v>
                </c:pt>
                <c:pt idx="19">
                  <c:v>17000</c:v>
                </c:pt>
                <c:pt idx="20">
                  <c:v>18000</c:v>
                </c:pt>
                <c:pt idx="21">
                  <c:v>18500</c:v>
                </c:pt>
                <c:pt idx="22">
                  <c:v>17500</c:v>
                </c:pt>
                <c:pt idx="2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0-4485-98C3-64DCFE774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4284719"/>
        <c:axId val="59427895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'Marketing_Performance '!$B$1</c15:sqref>
                        </c15:formulaRef>
                      </c:ext>
                    </c:extLst>
                    <c:strCache>
                      <c:ptCount val="1"/>
                      <c:pt idx="0">
                        <c:v>Month Index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'Marketing_Performance '!$B$2:$B$25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210-4485-98C3-64DCFE774ED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'Marketing_Performance '!$G$1</c:f>
              <c:strCache>
                <c:ptCount val="1"/>
                <c:pt idx="0">
                  <c:v>Revenue_EUR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'Marketing_Performance '!$G$2:$G$25</c:f>
              <c:numCache>
                <c:formatCode>General</c:formatCode>
                <c:ptCount val="24"/>
                <c:pt idx="0">
                  <c:v>48000</c:v>
                </c:pt>
                <c:pt idx="1">
                  <c:v>45000</c:v>
                </c:pt>
                <c:pt idx="2">
                  <c:v>52000</c:v>
                </c:pt>
                <c:pt idx="3">
                  <c:v>55000</c:v>
                </c:pt>
                <c:pt idx="4">
                  <c:v>60000</c:v>
                </c:pt>
                <c:pt idx="5">
                  <c:v>58500</c:v>
                </c:pt>
                <c:pt idx="6">
                  <c:v>63000</c:v>
                </c:pt>
                <c:pt idx="7">
                  <c:v>66000</c:v>
                </c:pt>
                <c:pt idx="8">
                  <c:v>70500</c:v>
                </c:pt>
                <c:pt idx="9">
                  <c:v>73500</c:v>
                </c:pt>
                <c:pt idx="10">
                  <c:v>68000</c:v>
                </c:pt>
                <c:pt idx="11">
                  <c:v>78000</c:v>
                </c:pt>
                <c:pt idx="12">
                  <c:v>49500</c:v>
                </c:pt>
                <c:pt idx="13">
                  <c:v>47000</c:v>
                </c:pt>
                <c:pt idx="14">
                  <c:v>57500</c:v>
                </c:pt>
                <c:pt idx="15">
                  <c:v>60000</c:v>
                </c:pt>
                <c:pt idx="16">
                  <c:v>65000</c:v>
                </c:pt>
                <c:pt idx="17">
                  <c:v>63000</c:v>
                </c:pt>
                <c:pt idx="18">
                  <c:v>68000</c:v>
                </c:pt>
                <c:pt idx="19">
                  <c:v>71000</c:v>
                </c:pt>
                <c:pt idx="20">
                  <c:v>76000</c:v>
                </c:pt>
                <c:pt idx="21">
                  <c:v>79000</c:v>
                </c:pt>
                <c:pt idx="22">
                  <c:v>73500</c:v>
                </c:pt>
                <c:pt idx="23">
                  <c:v>84000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10-4485-98C3-64DCFE774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289039"/>
        <c:axId val="594276559"/>
      </c:lineChart>
      <c:catAx>
        <c:axId val="594284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78959"/>
        <c:crosses val="autoZero"/>
        <c:auto val="1"/>
        <c:lblAlgn val="ctr"/>
        <c:lblOffset val="100"/>
        <c:noMultiLvlLbl val="0"/>
      </c:catAx>
      <c:valAx>
        <c:axId val="59427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</a:t>
                </a:r>
                <a:r>
                  <a:rPr lang="en-GB" baseline="0"/>
                  <a:t> spend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84719"/>
        <c:crosses val="autoZero"/>
        <c:crossBetween val="between"/>
      </c:valAx>
      <c:valAx>
        <c:axId val="59427655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89039"/>
        <c:crosses val="max"/>
        <c:crossBetween val="between"/>
      </c:valAx>
      <c:catAx>
        <c:axId val="594289039"/>
        <c:scaling>
          <c:orientation val="minMax"/>
        </c:scaling>
        <c:delete val="1"/>
        <c:axPos val="b"/>
        <c:majorTickMark val="none"/>
        <c:minorTickMark val="none"/>
        <c:tickLblPos val="nextTo"/>
        <c:crossAx val="5942765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Actual Revenue Vs. Forcasted Revenue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'Marketing_Performance '!$G$1</c:f>
              <c:strCache>
                <c:ptCount val="1"/>
                <c:pt idx="0">
                  <c:v>Revenue_EUR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'Marketing_Performance '!$G$2:$G$31</c:f>
              <c:numCache>
                <c:formatCode>General</c:formatCode>
                <c:ptCount val="30"/>
                <c:pt idx="0">
                  <c:v>48000</c:v>
                </c:pt>
                <c:pt idx="1">
                  <c:v>45000</c:v>
                </c:pt>
                <c:pt idx="2">
                  <c:v>52000</c:v>
                </c:pt>
                <c:pt idx="3">
                  <c:v>55000</c:v>
                </c:pt>
                <c:pt idx="4">
                  <c:v>60000</c:v>
                </c:pt>
                <c:pt idx="5">
                  <c:v>58500</c:v>
                </c:pt>
                <c:pt idx="6">
                  <c:v>63000</c:v>
                </c:pt>
                <c:pt idx="7">
                  <c:v>66000</c:v>
                </c:pt>
                <c:pt idx="8">
                  <c:v>70500</c:v>
                </c:pt>
                <c:pt idx="9">
                  <c:v>73500</c:v>
                </c:pt>
                <c:pt idx="10">
                  <c:v>68000</c:v>
                </c:pt>
                <c:pt idx="11">
                  <c:v>78000</c:v>
                </c:pt>
                <c:pt idx="12">
                  <c:v>49500</c:v>
                </c:pt>
                <c:pt idx="13">
                  <c:v>47000</c:v>
                </c:pt>
                <c:pt idx="14">
                  <c:v>57500</c:v>
                </c:pt>
                <c:pt idx="15">
                  <c:v>60000</c:v>
                </c:pt>
                <c:pt idx="16">
                  <c:v>65000</c:v>
                </c:pt>
                <c:pt idx="17">
                  <c:v>63000</c:v>
                </c:pt>
                <c:pt idx="18">
                  <c:v>68000</c:v>
                </c:pt>
                <c:pt idx="19">
                  <c:v>71000</c:v>
                </c:pt>
                <c:pt idx="20">
                  <c:v>76000</c:v>
                </c:pt>
                <c:pt idx="21">
                  <c:v>79000</c:v>
                </c:pt>
                <c:pt idx="22">
                  <c:v>73500</c:v>
                </c:pt>
                <c:pt idx="23">
                  <c:v>84000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3-45CE-A7B6-F282F062585C}"/>
            </c:ext>
          </c:extLst>
        </c:ser>
        <c:ser>
          <c:idx val="2"/>
          <c:order val="2"/>
          <c:tx>
            <c:strRef>
              <c:f>'Marketing_Performance '!$H$1</c:f>
              <c:strCache>
                <c:ptCount val="1"/>
                <c:pt idx="0">
                  <c:v>Forcasted 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'Marketing_Performance '!$H$2:$H$31</c:f>
              <c:numCache>
                <c:formatCode>General</c:formatCode>
                <c:ptCount val="30"/>
                <c:pt idx="24">
                  <c:v>76460.144927536225</c:v>
                </c:pt>
                <c:pt idx="25">
                  <c:v>77473.623188405792</c:v>
                </c:pt>
                <c:pt idx="26">
                  <c:v>78487.10144927536</c:v>
                </c:pt>
                <c:pt idx="27">
                  <c:v>79500.579710144928</c:v>
                </c:pt>
                <c:pt idx="28">
                  <c:v>80514.057971014496</c:v>
                </c:pt>
                <c:pt idx="29">
                  <c:v>81527.536231884049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63-45CE-A7B6-F282F0625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086911"/>
        <c:axId val="2720859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'Marketing_Performance '!$B$1</c15:sqref>
                        </c15:formulaRef>
                      </c:ext>
                    </c:extLst>
                    <c:strCache>
                      <c:ptCount val="1"/>
                      <c:pt idx="0">
                        <c:v>Month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'Marketing_Performance '!$B$2:$B$31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363-45CE-A7B6-F282F062585C}"/>
                  </c:ext>
                </c:extLst>
              </c15:ser>
            </c15:filteredLineSeries>
          </c:ext>
        </c:extLst>
      </c:lineChart>
      <c:catAx>
        <c:axId val="272086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  <a:r>
                  <a:rPr lang="en-GB" baseline="0"/>
                  <a:t> Index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5951"/>
        <c:crosses val="autoZero"/>
        <c:auto val="1"/>
        <c:lblAlgn val="ctr"/>
        <c:lblOffset val="100"/>
        <c:noMultiLvlLbl val="0"/>
      </c:catAx>
      <c:valAx>
        <c:axId val="27208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alpha val="99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Conversion And Funnel Performance</a:t>
            </a:r>
          </a:p>
        </c:rich>
      </c:tx>
      <c:layout>
        <c:manualLayout>
          <c:xMode val="edge"/>
          <c:yMode val="edge"/>
          <c:x val="0.25583319888435574"/>
          <c:y val="4.16667840193772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alpha val="99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2080671"/>
        <c:axId val="27208451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'Marketing_Performance '!$B$1</c15:sqref>
                        </c15:formulaRef>
                      </c:ext>
                    </c:extLst>
                    <c:strCache>
                      <c:ptCount val="1"/>
                      <c:pt idx="0">
                        <c:v>Month Index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'Marketing_Performance '!$B$2:$B$25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8664-4D04-99E7-5C9ADA086E5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strRef>
              <c:f>'Marketing_Performance '!$C$1</c:f>
              <c:strCache>
                <c:ptCount val="1"/>
                <c:pt idx="0">
                  <c:v>Website_Sessions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'Marketing_Performance '!$C$2:$C$25</c:f>
              <c:numCache>
                <c:formatCode>General</c:formatCode>
                <c:ptCount val="24"/>
                <c:pt idx="0">
                  <c:v>42000</c:v>
                </c:pt>
                <c:pt idx="1">
                  <c:v>39000</c:v>
                </c:pt>
                <c:pt idx="2">
                  <c:v>46000</c:v>
                </c:pt>
                <c:pt idx="3">
                  <c:v>48000</c:v>
                </c:pt>
                <c:pt idx="4">
                  <c:v>52000</c:v>
                </c:pt>
                <c:pt idx="5">
                  <c:v>50000</c:v>
                </c:pt>
                <c:pt idx="6">
                  <c:v>54000</c:v>
                </c:pt>
                <c:pt idx="7">
                  <c:v>56000</c:v>
                </c:pt>
                <c:pt idx="8">
                  <c:v>59000</c:v>
                </c:pt>
                <c:pt idx="9">
                  <c:v>61000</c:v>
                </c:pt>
                <c:pt idx="10">
                  <c:v>58000</c:v>
                </c:pt>
                <c:pt idx="11">
                  <c:v>65000</c:v>
                </c:pt>
                <c:pt idx="12">
                  <c:v>46000</c:v>
                </c:pt>
                <c:pt idx="13">
                  <c:v>44000</c:v>
                </c:pt>
                <c:pt idx="14">
                  <c:v>51000</c:v>
                </c:pt>
                <c:pt idx="15">
                  <c:v>53000</c:v>
                </c:pt>
                <c:pt idx="16">
                  <c:v>57000</c:v>
                </c:pt>
                <c:pt idx="17">
                  <c:v>55000</c:v>
                </c:pt>
                <c:pt idx="18">
                  <c:v>59000</c:v>
                </c:pt>
                <c:pt idx="19">
                  <c:v>61000</c:v>
                </c:pt>
                <c:pt idx="20">
                  <c:v>64000</c:v>
                </c:pt>
                <c:pt idx="21">
                  <c:v>66000</c:v>
                </c:pt>
                <c:pt idx="22">
                  <c:v>62000</c:v>
                </c:pt>
                <c:pt idx="23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64-4D04-99E7-5C9ADA086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080671"/>
        <c:axId val="272084511"/>
      </c:lineChart>
      <c:lineChart>
        <c:grouping val="standard"/>
        <c:varyColors val="0"/>
        <c:ser>
          <c:idx val="2"/>
          <c:order val="2"/>
          <c:tx>
            <c:strRef>
              <c:f>'Marketing_Performance '!$F$1</c:f>
              <c:strCache>
                <c:ptCount val="1"/>
                <c:pt idx="0">
                  <c:v>Conversions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'Marketing_Performance '!$F$2:$F$25</c:f>
              <c:numCache>
                <c:formatCode>General</c:formatCode>
                <c:ptCount val="24"/>
                <c:pt idx="0">
                  <c:v>320</c:v>
                </c:pt>
                <c:pt idx="1">
                  <c:v>300</c:v>
                </c:pt>
                <c:pt idx="2">
                  <c:v>350</c:v>
                </c:pt>
                <c:pt idx="3">
                  <c:v>365</c:v>
                </c:pt>
                <c:pt idx="4">
                  <c:v>400</c:v>
                </c:pt>
                <c:pt idx="5">
                  <c:v>390</c:v>
                </c:pt>
                <c:pt idx="6">
                  <c:v>420</c:v>
                </c:pt>
                <c:pt idx="7">
                  <c:v>440</c:v>
                </c:pt>
                <c:pt idx="8">
                  <c:v>470</c:v>
                </c:pt>
                <c:pt idx="9">
                  <c:v>490</c:v>
                </c:pt>
                <c:pt idx="10">
                  <c:v>455</c:v>
                </c:pt>
                <c:pt idx="11">
                  <c:v>520</c:v>
                </c:pt>
                <c:pt idx="12">
                  <c:v>330</c:v>
                </c:pt>
                <c:pt idx="13">
                  <c:v>315</c:v>
                </c:pt>
                <c:pt idx="14">
                  <c:v>385</c:v>
                </c:pt>
                <c:pt idx="15">
                  <c:v>400</c:v>
                </c:pt>
                <c:pt idx="16">
                  <c:v>435</c:v>
                </c:pt>
                <c:pt idx="17">
                  <c:v>420</c:v>
                </c:pt>
                <c:pt idx="18">
                  <c:v>455</c:v>
                </c:pt>
                <c:pt idx="19">
                  <c:v>475</c:v>
                </c:pt>
                <c:pt idx="20">
                  <c:v>505</c:v>
                </c:pt>
                <c:pt idx="21">
                  <c:v>525</c:v>
                </c:pt>
                <c:pt idx="22">
                  <c:v>490</c:v>
                </c:pt>
                <c:pt idx="23">
                  <c:v>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64-4D04-99E7-5C9ADA086E56}"/>
            </c:ext>
          </c:extLst>
        </c:ser>
        <c:ser>
          <c:idx val="3"/>
          <c:order val="3"/>
          <c:tx>
            <c:strRef>
              <c:f>'Marketing_Performance '!$I$1</c:f>
              <c:strCache>
                <c:ptCount val="1"/>
                <c:pt idx="0">
                  <c:v>ConversionRate</c:v>
                </c:pt>
              </c:strCache>
            </c:strRef>
          </c:tx>
          <c:spPr>
            <a:ln w="28575" cap="rnd">
              <a:solidFill>
                <a:schemeClr val="accent4">
                  <a:alpha val="97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'Marketing_Performance '!$I$2:$I$25</c:f>
              <c:numCache>
                <c:formatCode>0.00%</c:formatCode>
                <c:ptCount val="24"/>
                <c:pt idx="0">
                  <c:v>7.619047619047619E-3</c:v>
                </c:pt>
                <c:pt idx="1">
                  <c:v>7.6923076923076927E-3</c:v>
                </c:pt>
                <c:pt idx="2">
                  <c:v>7.6086956521739134E-3</c:v>
                </c:pt>
                <c:pt idx="3">
                  <c:v>7.6041666666666671E-3</c:v>
                </c:pt>
                <c:pt idx="4">
                  <c:v>7.6923076923076927E-3</c:v>
                </c:pt>
                <c:pt idx="5">
                  <c:v>7.7999999999999996E-3</c:v>
                </c:pt>
                <c:pt idx="6">
                  <c:v>7.7777777777777776E-3</c:v>
                </c:pt>
                <c:pt idx="7">
                  <c:v>7.8571428571428577E-3</c:v>
                </c:pt>
                <c:pt idx="8">
                  <c:v>7.9661016949152536E-3</c:v>
                </c:pt>
                <c:pt idx="9">
                  <c:v>8.032786885245901E-3</c:v>
                </c:pt>
                <c:pt idx="10">
                  <c:v>7.8448275862068959E-3</c:v>
                </c:pt>
                <c:pt idx="11">
                  <c:v>8.0000000000000002E-3</c:v>
                </c:pt>
                <c:pt idx="12">
                  <c:v>7.1739130434782606E-3</c:v>
                </c:pt>
                <c:pt idx="13">
                  <c:v>7.1590909090909092E-3</c:v>
                </c:pt>
                <c:pt idx="14">
                  <c:v>7.5490196078431375E-3</c:v>
                </c:pt>
                <c:pt idx="15">
                  <c:v>7.5471698113207548E-3</c:v>
                </c:pt>
                <c:pt idx="16">
                  <c:v>7.6315789473684207E-3</c:v>
                </c:pt>
                <c:pt idx="17">
                  <c:v>7.6363636363636364E-3</c:v>
                </c:pt>
                <c:pt idx="18">
                  <c:v>7.7118644067796609E-3</c:v>
                </c:pt>
                <c:pt idx="19">
                  <c:v>7.7868852459016397E-3</c:v>
                </c:pt>
                <c:pt idx="20">
                  <c:v>7.8906250000000001E-3</c:v>
                </c:pt>
                <c:pt idx="21">
                  <c:v>7.9545454545454537E-3</c:v>
                </c:pt>
                <c:pt idx="22">
                  <c:v>7.9032258064516137E-3</c:v>
                </c:pt>
                <c:pt idx="23">
                  <c:v>8.0000000000000002E-3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64-4D04-99E7-5C9ADA086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498239"/>
        <c:axId val="269500639"/>
      </c:lineChart>
      <c:catAx>
        <c:axId val="272080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alpha val="99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alpha val="99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alpha val="99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4511"/>
        <c:crosses val="autoZero"/>
        <c:auto val="1"/>
        <c:lblAlgn val="ctr"/>
        <c:lblOffset val="100"/>
        <c:noMultiLvlLbl val="0"/>
      </c:catAx>
      <c:valAx>
        <c:axId val="27208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alpha val="99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Website Session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alpha val="99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alpha val="99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0671"/>
        <c:crosses val="autoZero"/>
        <c:crossBetween val="between"/>
      </c:valAx>
      <c:valAx>
        <c:axId val="26950063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alpha val="99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Conversion/conversion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alpha val="99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alpha val="99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498239"/>
        <c:crosses val="max"/>
        <c:crossBetween val="between"/>
      </c:valAx>
      <c:catAx>
        <c:axId val="269498239"/>
        <c:scaling>
          <c:orientation val="minMax"/>
        </c:scaling>
        <c:delete val="1"/>
        <c:axPos val="b"/>
        <c:majorTickMark val="out"/>
        <c:minorTickMark val="none"/>
        <c:tickLblPos val="nextTo"/>
        <c:crossAx val="2695006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alpha val="99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alpha val="99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Conversion</a:t>
            </a:r>
            <a:r>
              <a:rPr lang="en-GB" baseline="0"/>
              <a:t> Rate Trend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'Marketing_Performance '!$I$1</c:f>
              <c:strCache>
                <c:ptCount val="1"/>
                <c:pt idx="0">
                  <c:v>ConversionRate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'Marketing_Performance '!$I$2:$I$25</c:f>
              <c:numCache>
                <c:formatCode>0.00%</c:formatCode>
                <c:ptCount val="24"/>
                <c:pt idx="0">
                  <c:v>7.619047619047619E-3</c:v>
                </c:pt>
                <c:pt idx="1">
                  <c:v>7.6923076923076927E-3</c:v>
                </c:pt>
                <c:pt idx="2">
                  <c:v>7.6086956521739134E-3</c:v>
                </c:pt>
                <c:pt idx="3">
                  <c:v>7.6041666666666671E-3</c:v>
                </c:pt>
                <c:pt idx="4">
                  <c:v>7.6923076923076927E-3</c:v>
                </c:pt>
                <c:pt idx="5">
                  <c:v>7.7999999999999996E-3</c:v>
                </c:pt>
                <c:pt idx="6">
                  <c:v>7.7777777777777776E-3</c:v>
                </c:pt>
                <c:pt idx="7">
                  <c:v>7.8571428571428577E-3</c:v>
                </c:pt>
                <c:pt idx="8">
                  <c:v>7.9661016949152536E-3</c:v>
                </c:pt>
                <c:pt idx="9">
                  <c:v>8.032786885245901E-3</c:v>
                </c:pt>
                <c:pt idx="10">
                  <c:v>7.8448275862068959E-3</c:v>
                </c:pt>
                <c:pt idx="11">
                  <c:v>8.0000000000000002E-3</c:v>
                </c:pt>
                <c:pt idx="12">
                  <c:v>7.1739130434782606E-3</c:v>
                </c:pt>
                <c:pt idx="13">
                  <c:v>7.1590909090909092E-3</c:v>
                </c:pt>
                <c:pt idx="14">
                  <c:v>7.5490196078431375E-3</c:v>
                </c:pt>
                <c:pt idx="15">
                  <c:v>7.5471698113207548E-3</c:v>
                </c:pt>
                <c:pt idx="16">
                  <c:v>7.6315789473684207E-3</c:v>
                </c:pt>
                <c:pt idx="17">
                  <c:v>7.6363636363636364E-3</c:v>
                </c:pt>
                <c:pt idx="18">
                  <c:v>7.7118644067796609E-3</c:v>
                </c:pt>
                <c:pt idx="19">
                  <c:v>7.7868852459016397E-3</c:v>
                </c:pt>
                <c:pt idx="20">
                  <c:v>7.8906250000000001E-3</c:v>
                </c:pt>
                <c:pt idx="21">
                  <c:v>7.9545454545454537E-3</c:v>
                </c:pt>
                <c:pt idx="22">
                  <c:v>7.9032258064516137E-3</c:v>
                </c:pt>
                <c:pt idx="23">
                  <c:v>8.0000000000000002E-3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82-45B4-BAF5-7CEE969E2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999423"/>
        <c:axId val="38600326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'Marketing_Performance '!$B$1</c15:sqref>
                        </c15:formulaRef>
                      </c:ext>
                    </c:extLst>
                    <c:strCache>
                      <c:ptCount val="1"/>
                      <c:pt idx="0">
                        <c:v>Month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'Marketing_Performance '!$B$2:$B$25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382-45B4-BAF5-7CEE969E282D}"/>
                  </c:ext>
                </c:extLst>
              </c15:ser>
            </c15:filteredLineSeries>
          </c:ext>
        </c:extLst>
      </c:lineChart>
      <c:catAx>
        <c:axId val="385999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  <a:r>
                  <a:rPr lang="en-GB" baseline="0"/>
                  <a:t> Index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003263"/>
        <c:crosses val="autoZero"/>
        <c:auto val="1"/>
        <c:lblAlgn val="ctr"/>
        <c:lblOffset val="100"/>
        <c:noMultiLvlLbl val="0"/>
      </c:catAx>
      <c:valAx>
        <c:axId val="386003263"/>
        <c:scaling>
          <c:orientation val="minMax"/>
          <c:max val="1.0000000000000002E-2"/>
          <c:min val="6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Conversion</a:t>
                </a:r>
                <a:r>
                  <a:rPr lang="en-GB" baseline="0"/>
                  <a:t> Rate(%)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999423"/>
        <c:crosses val="autoZero"/>
        <c:crossBetween val="between"/>
        <c:majorUnit val="1.0000000000000002E-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Website</a:t>
            </a:r>
            <a:r>
              <a:rPr lang="en-GB" baseline="0"/>
              <a:t> Session Vs. Conversion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4272719"/>
        <c:axId val="5942808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'Marketing_Performance '!$B$1</c15:sqref>
                        </c15:formulaRef>
                      </c:ext>
                    </c:extLst>
                    <c:strCache>
                      <c:ptCount val="1"/>
                      <c:pt idx="0">
                        <c:v>Month Index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'Marketing_Performance '!$B$2:$B$25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D6E-453D-867B-FD31C11054BF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1"/>
          <c:order val="1"/>
          <c:tx>
            <c:strRef>
              <c:f>'Marketing_Performance '!$C$1</c:f>
              <c:strCache>
                <c:ptCount val="1"/>
                <c:pt idx="0">
                  <c:v>Website_Sessions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'Marketing_Performance '!$C$2:$C$25</c:f>
              <c:numCache>
                <c:formatCode>General</c:formatCode>
                <c:ptCount val="24"/>
                <c:pt idx="0">
                  <c:v>42000</c:v>
                </c:pt>
                <c:pt idx="1">
                  <c:v>39000</c:v>
                </c:pt>
                <c:pt idx="2">
                  <c:v>46000</c:v>
                </c:pt>
                <c:pt idx="3">
                  <c:v>48000</c:v>
                </c:pt>
                <c:pt idx="4">
                  <c:v>52000</c:v>
                </c:pt>
                <c:pt idx="5">
                  <c:v>50000</c:v>
                </c:pt>
                <c:pt idx="6">
                  <c:v>54000</c:v>
                </c:pt>
                <c:pt idx="7">
                  <c:v>56000</c:v>
                </c:pt>
                <c:pt idx="8">
                  <c:v>59000</c:v>
                </c:pt>
                <c:pt idx="9">
                  <c:v>61000</c:v>
                </c:pt>
                <c:pt idx="10">
                  <c:v>58000</c:v>
                </c:pt>
                <c:pt idx="11">
                  <c:v>65000</c:v>
                </c:pt>
                <c:pt idx="12">
                  <c:v>46000</c:v>
                </c:pt>
                <c:pt idx="13">
                  <c:v>44000</c:v>
                </c:pt>
                <c:pt idx="14">
                  <c:v>51000</c:v>
                </c:pt>
                <c:pt idx="15">
                  <c:v>53000</c:v>
                </c:pt>
                <c:pt idx="16">
                  <c:v>57000</c:v>
                </c:pt>
                <c:pt idx="17">
                  <c:v>55000</c:v>
                </c:pt>
                <c:pt idx="18">
                  <c:v>59000</c:v>
                </c:pt>
                <c:pt idx="19">
                  <c:v>61000</c:v>
                </c:pt>
                <c:pt idx="20">
                  <c:v>64000</c:v>
                </c:pt>
                <c:pt idx="21">
                  <c:v>66000</c:v>
                </c:pt>
                <c:pt idx="22">
                  <c:v>62000</c:v>
                </c:pt>
                <c:pt idx="23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6E-453D-867B-FD31C1105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272719"/>
        <c:axId val="594280879"/>
      </c:lineChart>
      <c:lineChart>
        <c:grouping val="stacked"/>
        <c:varyColors val="0"/>
        <c:ser>
          <c:idx val="2"/>
          <c:order val="2"/>
          <c:tx>
            <c:strRef>
              <c:f>'Marketing_Performance '!$F$1</c:f>
              <c:strCache>
                <c:ptCount val="1"/>
                <c:pt idx="0">
                  <c:v>Conversions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'Marketing_Performance '!$F$2:$F$25</c:f>
              <c:numCache>
                <c:formatCode>General</c:formatCode>
                <c:ptCount val="24"/>
                <c:pt idx="0">
                  <c:v>320</c:v>
                </c:pt>
                <c:pt idx="1">
                  <c:v>300</c:v>
                </c:pt>
                <c:pt idx="2">
                  <c:v>350</c:v>
                </c:pt>
                <c:pt idx="3">
                  <c:v>365</c:v>
                </c:pt>
                <c:pt idx="4">
                  <c:v>400</c:v>
                </c:pt>
                <c:pt idx="5">
                  <c:v>390</c:v>
                </c:pt>
                <c:pt idx="6">
                  <c:v>420</c:v>
                </c:pt>
                <c:pt idx="7">
                  <c:v>440</c:v>
                </c:pt>
                <c:pt idx="8">
                  <c:v>470</c:v>
                </c:pt>
                <c:pt idx="9">
                  <c:v>490</c:v>
                </c:pt>
                <c:pt idx="10">
                  <c:v>455</c:v>
                </c:pt>
                <c:pt idx="11">
                  <c:v>520</c:v>
                </c:pt>
                <c:pt idx="12">
                  <c:v>330</c:v>
                </c:pt>
                <c:pt idx="13">
                  <c:v>315</c:v>
                </c:pt>
                <c:pt idx="14">
                  <c:v>385</c:v>
                </c:pt>
                <c:pt idx="15">
                  <c:v>400</c:v>
                </c:pt>
                <c:pt idx="16">
                  <c:v>435</c:v>
                </c:pt>
                <c:pt idx="17">
                  <c:v>420</c:v>
                </c:pt>
                <c:pt idx="18">
                  <c:v>455</c:v>
                </c:pt>
                <c:pt idx="19">
                  <c:v>475</c:v>
                </c:pt>
                <c:pt idx="20">
                  <c:v>505</c:v>
                </c:pt>
                <c:pt idx="21">
                  <c:v>525</c:v>
                </c:pt>
                <c:pt idx="22">
                  <c:v>490</c:v>
                </c:pt>
                <c:pt idx="23">
                  <c:v>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6E-453D-867B-FD31C1105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279919"/>
        <c:axId val="594277519"/>
      </c:lineChart>
      <c:catAx>
        <c:axId val="594272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  <a:r>
                  <a:rPr lang="en-GB" baseline="0"/>
                  <a:t> Index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80879"/>
        <c:crosses val="autoZero"/>
        <c:auto val="1"/>
        <c:lblAlgn val="ctr"/>
        <c:lblOffset val="100"/>
        <c:noMultiLvlLbl val="0"/>
      </c:catAx>
      <c:valAx>
        <c:axId val="59428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Website</a:t>
                </a:r>
                <a:r>
                  <a:rPr lang="en-GB" baseline="0"/>
                  <a:t> Sessions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72719"/>
        <c:crosses val="autoZero"/>
        <c:crossBetween val="between"/>
      </c:valAx>
      <c:valAx>
        <c:axId val="59427751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Conversion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79919"/>
        <c:crosses val="max"/>
        <c:crossBetween val="between"/>
      </c:valAx>
      <c:catAx>
        <c:axId val="594279919"/>
        <c:scaling>
          <c:orientation val="minMax"/>
        </c:scaling>
        <c:delete val="1"/>
        <c:axPos val="b"/>
        <c:majorTickMark val="out"/>
        <c:minorTickMark val="none"/>
        <c:tickLblPos val="nextTo"/>
        <c:crossAx val="5942775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Marketing ROI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'Marketing_Performance '!$J$1</c:f>
              <c:strCache>
                <c:ptCount val="1"/>
                <c:pt idx="0">
                  <c:v>ROI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val>
            <c:numRef>
              <c:f>'Marketing_Performance '!$J$2:$J$25</c:f>
              <c:numCache>
                <c:formatCode>0.0%</c:formatCode>
                <c:ptCount val="24"/>
                <c:pt idx="0">
                  <c:v>3</c:v>
                </c:pt>
                <c:pt idx="1">
                  <c:v>3.0909090909090908</c:v>
                </c:pt>
                <c:pt idx="2">
                  <c:v>3</c:v>
                </c:pt>
                <c:pt idx="3">
                  <c:v>2.9285714285714284</c:v>
                </c:pt>
                <c:pt idx="4">
                  <c:v>3</c:v>
                </c:pt>
                <c:pt idx="5">
                  <c:v>3.0344827586206895</c:v>
                </c:pt>
                <c:pt idx="6">
                  <c:v>3.064516129032258</c:v>
                </c:pt>
                <c:pt idx="7">
                  <c:v>3.125</c:v>
                </c:pt>
                <c:pt idx="8">
                  <c:v>3.1470588235294117</c:v>
                </c:pt>
                <c:pt idx="9">
                  <c:v>3.2</c:v>
                </c:pt>
                <c:pt idx="10">
                  <c:v>3.1212121212121211</c:v>
                </c:pt>
                <c:pt idx="11">
                  <c:v>3.1052631578947367</c:v>
                </c:pt>
                <c:pt idx="12">
                  <c:v>2.8076923076923075</c:v>
                </c:pt>
                <c:pt idx="13">
                  <c:v>2.76</c:v>
                </c:pt>
                <c:pt idx="14">
                  <c:v>2.9655172413793105</c:v>
                </c:pt>
                <c:pt idx="15">
                  <c:v>3</c:v>
                </c:pt>
                <c:pt idx="16">
                  <c:v>3.0625</c:v>
                </c:pt>
                <c:pt idx="17">
                  <c:v>3.064516129032258</c:v>
                </c:pt>
                <c:pt idx="18">
                  <c:v>3.1212121212121211</c:v>
                </c:pt>
                <c:pt idx="19">
                  <c:v>3.1764705882352939</c:v>
                </c:pt>
                <c:pt idx="20">
                  <c:v>3.2222222222222223</c:v>
                </c:pt>
                <c:pt idx="21">
                  <c:v>3.2702702702702702</c:v>
                </c:pt>
                <c:pt idx="22">
                  <c:v>3.2</c:v>
                </c:pt>
                <c:pt idx="23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B-4A79-A978-34A52E22D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344015"/>
        <c:axId val="28633873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'Marketing_Performance '!$B$1</c15:sqref>
                        </c15:formulaRef>
                      </c:ext>
                    </c:extLst>
                    <c:strCache>
                      <c:ptCount val="1"/>
                      <c:pt idx="0">
                        <c:v>Month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'Marketing_Performance '!$B$2:$B$25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1DB-4A79-A978-34A52E22DFF7}"/>
                  </c:ext>
                </c:extLst>
              </c15:ser>
            </c15:filteredLineSeries>
          </c:ext>
        </c:extLst>
      </c:lineChart>
      <c:catAx>
        <c:axId val="286344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  <a:r>
                  <a:rPr lang="en-GB" baseline="0"/>
                  <a:t> Index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38735"/>
        <c:crosses val="autoZero"/>
        <c:auto val="1"/>
        <c:lblAlgn val="ctr"/>
        <c:lblOffset val="100"/>
        <c:noMultiLvlLbl val="0"/>
      </c:catAx>
      <c:valAx>
        <c:axId val="286338735"/>
        <c:scaling>
          <c:orientation val="minMax"/>
          <c:max val="3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ROI(%)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44015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2082800</xdr:colOff>
      <xdr:row>32</xdr:row>
      <xdr:rowOff>133350</xdr:rowOff>
    </xdr:from>
    <xdr:to>
      <xdr:col>11</xdr:col>
      <xdr:colOff>485774</xdr:colOff>
      <xdr:row>42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AA4676-5AC7-821E-9711-D65DD0F97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753180</xdr:colOff>
      <xdr:row>18</xdr:row>
      <xdr:rowOff>147108</xdr:rowOff>
    </xdr:from>
    <xdr:to>
      <xdr:col>18</xdr:col>
      <xdr:colOff>337222</xdr:colOff>
      <xdr:row>33</xdr:row>
      <xdr:rowOff>124594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5A2B42-552F-6502-6A7A-C68E6ED2A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606926</xdr:colOff>
      <xdr:row>57</xdr:row>
      <xdr:rowOff>174338</xdr:rowOff>
    </xdr:from>
    <xdr:to>
      <xdr:col>17</xdr:col>
      <xdr:colOff>301149</xdr:colOff>
      <xdr:row>72</xdr:row>
      <xdr:rowOff>151890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7AC964-793A-C5E9-27C3-067D52C8C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627144</xdr:colOff>
      <xdr:row>61</xdr:row>
      <xdr:rowOff>179883</xdr:rowOff>
    </xdr:from>
    <xdr:to>
      <xdr:col>10</xdr:col>
      <xdr:colOff>703344</xdr:colOff>
      <xdr:row>76</xdr:row>
      <xdr:rowOff>160833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1C1C2E-258E-35A3-D800-F92925674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19050</xdr:colOff>
      <xdr:row>39</xdr:row>
      <xdr:rowOff>104392</xdr:rowOff>
    </xdr:from>
    <xdr:to>
      <xdr:col>10</xdr:col>
      <xdr:colOff>705297</xdr:colOff>
      <xdr:row>54</xdr:row>
      <xdr:rowOff>114331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3E0250-788E-4304-EACD-87C4487F4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98936</xdr:colOff>
      <xdr:row>73</xdr:row>
      <xdr:rowOff>32703</xdr:rowOff>
    </xdr:from>
    <xdr:to>
      <xdr:col>6</xdr:col>
      <xdr:colOff>89388</xdr:colOff>
      <xdr:row>87</xdr:row>
      <xdr:rowOff>175822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DC7326-AFD8-A71D-B5E1-490192F73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1066888</xdr:colOff>
      <xdr:row>80</xdr:row>
      <xdr:rowOff>166255</xdr:rowOff>
    </xdr:from>
    <xdr:to>
      <xdr:col>10</xdr:col>
      <xdr:colOff>26153</xdr:colOff>
      <xdr:row>95</xdr:row>
      <xdr:rowOff>125225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77ABC5-FA7A-5623-7927-062025F54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476250</xdr:colOff>
      <xdr:row>57</xdr:row>
      <xdr:rowOff>58525</xdr:rowOff>
    </xdr:from>
    <xdr:to>
      <xdr:col>19</xdr:col>
      <xdr:colOff>286283</xdr:colOff>
      <xdr:row>78</xdr:row>
      <xdr:rowOff>24244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6F0B0F8-BCF2-FD33-F04D-20075EDDC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193675</xdr:colOff>
      <xdr:row>2</xdr:row>
      <xdr:rowOff>171450</xdr:rowOff>
    </xdr:from>
    <xdr:to>
      <xdr:col>18</xdr:col>
      <xdr:colOff>498475</xdr:colOff>
      <xdr:row>17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9BBDA29-BDA4-CE4F-1CDE-EEAC0222A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549275</xdr:colOff>
      <xdr:row>9</xdr:row>
      <xdr:rowOff>31750</xdr:rowOff>
    </xdr:from>
    <xdr:to>
      <xdr:col>19</xdr:col>
      <xdr:colOff>244475</xdr:colOff>
      <xdr:row>24</xdr:row>
      <xdr:rowOff>12700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643122C-623E-AB8A-5452-57D0BD305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364249</xdr:colOff>
      <xdr:row>7</xdr:row>
      <xdr:rowOff>139598</xdr:rowOff>
    </xdr:from>
    <xdr:to>
      <xdr:col>19</xdr:col>
      <xdr:colOff>58246</xdr:colOff>
      <xdr:row>22</xdr:row>
      <xdr:rowOff>98567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78DE7C4-611A-0850-4DB6-AB02312D2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295691</xdr:colOff>
      <xdr:row>9</xdr:row>
      <xdr:rowOff>19242</xdr:rowOff>
    </xdr:from>
    <xdr:to>
      <xdr:col>17</xdr:col>
      <xdr:colOff>287995</xdr:colOff>
      <xdr:row>27</xdr:row>
      <xdr:rowOff>179595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0829ADE-A17A-B646-7FAE-A002422FB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50800</xdr:rowOff>
    </xdr:from>
    <xdr:to>
      <xdr:col>7</xdr:col>
      <xdr:colOff>488950</xdr:colOff>
      <xdr:row>2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01E5ED-3BB6-F0E2-F068-FBC3C77F79AD}"/>
            </a:ext>
          </a:extLst>
        </xdr:cNvPr>
        <xdr:cNvSpPr txBox="1"/>
      </xdr:nvSpPr>
      <xdr:spPr>
        <a:xfrm>
          <a:off x="38100" y="50800"/>
          <a:ext cx="4718050" cy="374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Marketing Revenue and Conversion Forcasting (Excel)</a:t>
          </a:r>
        </a:p>
      </xdr:txBody>
    </xdr:sp>
    <xdr:clientData/>
  </xdr:twoCellAnchor>
  <xdr:twoCellAnchor>
    <xdr:from>
      <xdr:col>0</xdr:col>
      <xdr:colOff>222250</xdr:colOff>
      <xdr:row>3</xdr:row>
      <xdr:rowOff>127000</xdr:rowOff>
    </xdr:from>
    <xdr:to>
      <xdr:col>2</xdr:col>
      <xdr:colOff>431800</xdr:colOff>
      <xdr:row>7</xdr:row>
      <xdr:rowOff>6350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CBF80E3-9BC1-24EA-CC01-4FF20BF1B7EF}"/>
            </a:ext>
          </a:extLst>
        </xdr:cNvPr>
        <xdr:cNvSpPr txBox="1"/>
      </xdr:nvSpPr>
      <xdr:spPr>
        <a:xfrm>
          <a:off x="222250" y="679450"/>
          <a:ext cx="1428750" cy="615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Total Revenue</a:t>
          </a:r>
          <a:br>
            <a:rPr lang="en-GB" sz="1100"/>
          </a:br>
          <a:r>
            <a:rPr lang="en-GB" sz="1100"/>
            <a:t>£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1,531,000</a:t>
          </a:r>
          <a:r>
            <a:rPr lang="en-GB">
              <a:effectLst/>
            </a:rPr>
            <a:t> </a:t>
          </a:r>
          <a:endParaRPr lang="en-GB" sz="1100"/>
        </a:p>
      </xdr:txBody>
    </xdr:sp>
    <xdr:clientData/>
  </xdr:twoCellAnchor>
  <xdr:twoCellAnchor>
    <xdr:from>
      <xdr:col>2</xdr:col>
      <xdr:colOff>584200</xdr:colOff>
      <xdr:row>3</xdr:row>
      <xdr:rowOff>127000</xdr:rowOff>
    </xdr:from>
    <xdr:to>
      <xdr:col>5</xdr:col>
      <xdr:colOff>228600</xdr:colOff>
      <xdr:row>7</xdr:row>
      <xdr:rowOff>6350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5134AE1-4D3A-5C0D-1578-10E488C4E8CC}"/>
            </a:ext>
          </a:extLst>
        </xdr:cNvPr>
        <xdr:cNvSpPr txBox="1"/>
      </xdr:nvSpPr>
      <xdr:spPr>
        <a:xfrm>
          <a:off x="1803400" y="679450"/>
          <a:ext cx="1473200" cy="615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Total Ad Spend</a:t>
          </a:r>
          <a:br>
            <a:rPr lang="en-GB" sz="1100"/>
          </a:br>
          <a:r>
            <a:rPr lang="en-GB" sz="1100"/>
            <a:t>£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375,000</a:t>
          </a:r>
          <a:r>
            <a:rPr lang="en-GB">
              <a:effectLst/>
            </a:rPr>
            <a:t> </a:t>
          </a:r>
          <a:endParaRPr lang="en-GB" sz="1100"/>
        </a:p>
      </xdr:txBody>
    </xdr:sp>
    <xdr:clientData/>
  </xdr:twoCellAnchor>
  <xdr:twoCellAnchor>
    <xdr:from>
      <xdr:col>5</xdr:col>
      <xdr:colOff>387350</xdr:colOff>
      <xdr:row>3</xdr:row>
      <xdr:rowOff>133350</xdr:rowOff>
    </xdr:from>
    <xdr:to>
      <xdr:col>9</xdr:col>
      <xdr:colOff>6350</xdr:colOff>
      <xdr:row>6</xdr:row>
      <xdr:rowOff>177800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536C6F7-A0C2-4B13-B841-056A0CE9C735}"/>
            </a:ext>
          </a:extLst>
        </xdr:cNvPr>
        <xdr:cNvSpPr txBox="1"/>
      </xdr:nvSpPr>
      <xdr:spPr>
        <a:xfrm>
          <a:off x="3435350" y="685800"/>
          <a:ext cx="2057400" cy="596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Marketing Return on Investment</a:t>
          </a:r>
          <a:br>
            <a:rPr lang="en-GB" sz="1100"/>
          </a:b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308.3%</a:t>
          </a:r>
          <a:r>
            <a:rPr lang="en-GB">
              <a:effectLst/>
            </a:rPr>
            <a:t> </a:t>
          </a:r>
          <a:endParaRPr lang="en-GB" sz="1100"/>
        </a:p>
      </xdr:txBody>
    </xdr:sp>
    <xdr:clientData/>
  </xdr:twoCellAnchor>
  <xdr:twoCellAnchor>
    <xdr:from>
      <xdr:col>9</xdr:col>
      <xdr:colOff>171450</xdr:colOff>
      <xdr:row>3</xdr:row>
      <xdr:rowOff>133350</xdr:rowOff>
    </xdr:from>
    <xdr:to>
      <xdr:col>12</xdr:col>
      <xdr:colOff>177800</xdr:colOff>
      <xdr:row>6</xdr:row>
      <xdr:rowOff>171450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AEA5C52-DEDA-7A00-2682-84CD10223EF8}"/>
            </a:ext>
          </a:extLst>
        </xdr:cNvPr>
        <xdr:cNvSpPr txBox="1"/>
      </xdr:nvSpPr>
      <xdr:spPr>
        <a:xfrm>
          <a:off x="5657850" y="685800"/>
          <a:ext cx="1835150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Total Leads</a:t>
          </a:r>
          <a:br>
            <a:rPr lang="en-GB" sz="1100"/>
          </a:b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65,700</a:t>
          </a:r>
          <a:r>
            <a:rPr lang="en-GB">
              <a:effectLst/>
            </a:rPr>
            <a:t> </a:t>
          </a:r>
          <a:endParaRPr lang="en-GB" sz="1100"/>
        </a:p>
      </xdr:txBody>
    </xdr:sp>
    <xdr:clientData/>
  </xdr:twoCellAnchor>
  <xdr:twoCellAnchor>
    <xdr:from>
      <xdr:col>15</xdr:col>
      <xdr:colOff>425450</xdr:colOff>
      <xdr:row>3</xdr:row>
      <xdr:rowOff>127000</xdr:rowOff>
    </xdr:from>
    <xdr:to>
      <xdr:col>18</xdr:col>
      <xdr:colOff>266700</xdr:colOff>
      <xdr:row>7</xdr:row>
      <xdr:rowOff>6350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8BF3B53-CF2B-BACD-19D9-E9D6B239288B}"/>
            </a:ext>
          </a:extLst>
        </xdr:cNvPr>
        <xdr:cNvSpPr txBox="1"/>
      </xdr:nvSpPr>
      <xdr:spPr>
        <a:xfrm>
          <a:off x="9569450" y="679450"/>
          <a:ext cx="1670050" cy="615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Website session</a:t>
          </a:r>
          <a:br>
            <a:rPr lang="en-GB" sz="1100"/>
          </a:b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1,318,000</a:t>
          </a:r>
          <a:r>
            <a:rPr lang="en-GB">
              <a:effectLst/>
            </a:rPr>
            <a:t> </a:t>
          </a:r>
          <a:endParaRPr lang="en-GB" sz="1100"/>
        </a:p>
      </xdr:txBody>
    </xdr:sp>
    <xdr:clientData/>
  </xdr:twoCellAnchor>
  <xdr:twoCellAnchor>
    <xdr:from>
      <xdr:col>12</xdr:col>
      <xdr:colOff>254000</xdr:colOff>
      <xdr:row>3</xdr:row>
      <xdr:rowOff>133350</xdr:rowOff>
    </xdr:from>
    <xdr:to>
      <xdr:col>15</xdr:col>
      <xdr:colOff>304800</xdr:colOff>
      <xdr:row>6</xdr:row>
      <xdr:rowOff>171450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1878177-6A11-F8CE-7F1F-C32AFE2C1FB8}"/>
            </a:ext>
          </a:extLst>
        </xdr:cNvPr>
        <xdr:cNvSpPr txBox="1"/>
      </xdr:nvSpPr>
      <xdr:spPr>
        <a:xfrm>
          <a:off x="7569200" y="685800"/>
          <a:ext cx="1879600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Total Conversions</a:t>
          </a:r>
          <a:br>
            <a:rPr lang="en-GB" sz="1100"/>
          </a:b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10,215</a:t>
          </a:r>
          <a:r>
            <a:rPr lang="en-GB">
              <a:effectLst/>
            </a:rPr>
            <a:t> </a:t>
          </a:r>
          <a:endParaRPr lang="en-GB" sz="1100"/>
        </a:p>
      </xdr:txBody>
    </xdr:sp>
    <xdr:clientData/>
  </xdr:twoCellAnchor>
  <xdr:twoCellAnchor>
    <xdr:from>
      <xdr:col>6</xdr:col>
      <xdr:colOff>527050</xdr:colOff>
      <xdr:row>8</xdr:row>
      <xdr:rowOff>69850</xdr:rowOff>
    </xdr:from>
    <xdr:to>
      <xdr:col>13</xdr:col>
      <xdr:colOff>355600</xdr:colOff>
      <xdr:row>23</xdr:row>
      <xdr:rowOff>25400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8FC9EE9-8E66-421E-A934-810E94C091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203201</xdr:colOff>
      <xdr:row>8</xdr:row>
      <xdr:rowOff>63500</xdr:rowOff>
    </xdr:from>
    <xdr:to>
      <xdr:col>6</xdr:col>
      <xdr:colOff>412750</xdr:colOff>
      <xdr:row>23</xdr:row>
      <xdr:rowOff>40986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60CBBC0-CE04-4BE7-820A-F98F5A018D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482600</xdr:colOff>
      <xdr:row>8</xdr:row>
      <xdr:rowOff>57151</xdr:rowOff>
    </xdr:from>
    <xdr:to>
      <xdr:col>19</xdr:col>
      <xdr:colOff>565150</xdr:colOff>
      <xdr:row>23</xdr:row>
      <xdr:rowOff>19051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9712545-EA25-4E1E-AC97-96CB4D344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215900</xdr:colOff>
      <xdr:row>23</xdr:row>
      <xdr:rowOff>152400</xdr:rowOff>
    </xdr:from>
    <xdr:to>
      <xdr:col>6</xdr:col>
      <xdr:colOff>425450</xdr:colOff>
      <xdr:row>38</xdr:row>
      <xdr:rowOff>133350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3FD5DBE-5B4B-49CC-BDF7-F856D5DD3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546100</xdr:colOff>
      <xdr:row>23</xdr:row>
      <xdr:rowOff>152400</xdr:rowOff>
    </xdr:from>
    <xdr:to>
      <xdr:col>13</xdr:col>
      <xdr:colOff>387350</xdr:colOff>
      <xdr:row>38</xdr:row>
      <xdr:rowOff>139270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6303F78-13EE-4EBD-A1F4-9475BD7E9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469900</xdr:colOff>
      <xdr:row>23</xdr:row>
      <xdr:rowOff>139701</xdr:rowOff>
    </xdr:from>
    <xdr:to>
      <xdr:col>19</xdr:col>
      <xdr:colOff>603250</xdr:colOff>
      <xdr:row>38</xdr:row>
      <xdr:rowOff>152401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BF4F2C7-84C3-46CD-89DC-B4BC1B1E7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9568FE-0114-402E-81D2-ABE7F3747DC4}" name="Table1" displayName="Table1" ref="A1:E31" totalsRowShown="0">
  <autoFilter ref="A1:E31" xr:uid="{F59568FE-0114-402E-81D2-ABE7F3747DC4}"/>
  <tableColumns count="5">
    <tableColumn id="1" xr3:uid="{41ECFAD5-4EBE-44D8-A2EB-BD981B147C0E}" name="Month Index"/>
    <tableColumn id="2" xr3:uid="{6727002D-9315-4516-A52F-3154EE7EEE46}" name="Revenue_EUR"/>
    <tableColumn id="3" xr3:uid="{AA172AB2-496E-41D9-A10D-0C3F3C2911E2}" name="Forecast(Revenue_EUR)">
      <calculatedColumnFormula>_xlfn.FORECAST.ETS(A2,$B$2:$B$25,$A$2:$A$25,1,1)</calculatedColumnFormula>
    </tableColumn>
    <tableColumn id="4" xr3:uid="{B3EE55D8-6992-4EEA-A248-AA5910BA1FED}" name="Lower Confidence Bound(Revenue_EUR)" dataDxfId="1">
      <calculatedColumnFormula>C2-_xlfn.FORECAST.ETS.CONFINT(A2,$B$2:$B$25,$A$2:$A$25,0.95,1,1)</calculatedColumnFormula>
    </tableColumn>
    <tableColumn id="5" xr3:uid="{53F01076-E39B-46F7-9A58-66E896F3FCCB}" name="Upper Confidence Bound(Revenue_EUR)" dataDxfId="0">
      <calculatedColumnFormula>C2+_xlfn.FORECAST.ETS.CONFINT(A2,$B$2:$B$25,$A$2:$A$25,0.95,1,1)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9390-507B-4863-AE32-E5B003CFD82B}">
  <dimension ref="A1:E31"/>
  <sheetViews>
    <sheetView topLeftCell="A13" workbookViewId="0"/>
  </sheetViews>
  <sheetFormatPr defaultRowHeight="14.5" x14ac:dyDescent="0.35"/>
  <cols>
    <col min="1" max="1" width="13.6328125" customWidth="1"/>
    <col min="2" max="2" width="14.36328125" customWidth="1"/>
    <col min="3" max="3" width="22.7265625" customWidth="1"/>
    <col min="4" max="4" width="36.453125" customWidth="1"/>
    <col min="5" max="5" width="36.54296875" customWidth="1"/>
  </cols>
  <sheetData>
    <row r="1" spans="1:5" x14ac:dyDescent="0.35">
      <c r="A1" t="s">
        <v>30</v>
      </c>
      <c r="B1" t="s">
        <v>5</v>
      </c>
      <c r="C1" t="s">
        <v>57</v>
      </c>
      <c r="D1" t="s">
        <v>58</v>
      </c>
      <c r="E1" t="s">
        <v>59</v>
      </c>
    </row>
    <row r="2" spans="1:5" x14ac:dyDescent="0.35">
      <c r="A2">
        <v>1</v>
      </c>
      <c r="B2">
        <v>48000</v>
      </c>
    </row>
    <row r="3" spans="1:5" x14ac:dyDescent="0.35">
      <c r="A3">
        <v>2</v>
      </c>
      <c r="B3">
        <v>45000</v>
      </c>
    </row>
    <row r="4" spans="1:5" x14ac:dyDescent="0.35">
      <c r="A4">
        <v>3</v>
      </c>
      <c r="B4">
        <v>52000</v>
      </c>
    </row>
    <row r="5" spans="1:5" x14ac:dyDescent="0.35">
      <c r="A5">
        <v>4</v>
      </c>
      <c r="B5">
        <v>55000</v>
      </c>
    </row>
    <row r="6" spans="1:5" x14ac:dyDescent="0.35">
      <c r="A6">
        <v>5</v>
      </c>
      <c r="B6">
        <v>60000</v>
      </c>
    </row>
    <row r="7" spans="1:5" x14ac:dyDescent="0.35">
      <c r="A7">
        <v>6</v>
      </c>
      <c r="B7">
        <v>58500</v>
      </c>
    </row>
    <row r="8" spans="1:5" x14ac:dyDescent="0.35">
      <c r="A8">
        <v>7</v>
      </c>
      <c r="B8">
        <v>63000</v>
      </c>
    </row>
    <row r="9" spans="1:5" x14ac:dyDescent="0.35">
      <c r="A9">
        <v>8</v>
      </c>
      <c r="B9">
        <v>66000</v>
      </c>
    </row>
    <row r="10" spans="1:5" x14ac:dyDescent="0.35">
      <c r="A10">
        <v>9</v>
      </c>
      <c r="B10">
        <v>70500</v>
      </c>
    </row>
    <row r="11" spans="1:5" x14ac:dyDescent="0.35">
      <c r="A11">
        <v>10</v>
      </c>
      <c r="B11">
        <v>73500</v>
      </c>
    </row>
    <row r="12" spans="1:5" x14ac:dyDescent="0.35">
      <c r="A12">
        <v>11</v>
      </c>
      <c r="B12">
        <v>68000</v>
      </c>
    </row>
    <row r="13" spans="1:5" x14ac:dyDescent="0.35">
      <c r="A13">
        <v>12</v>
      </c>
      <c r="B13">
        <v>78000</v>
      </c>
    </row>
    <row r="14" spans="1:5" x14ac:dyDescent="0.35">
      <c r="A14">
        <v>13</v>
      </c>
      <c r="B14">
        <v>49500</v>
      </c>
    </row>
    <row r="15" spans="1:5" x14ac:dyDescent="0.35">
      <c r="A15">
        <v>14</v>
      </c>
      <c r="B15">
        <v>47000</v>
      </c>
    </row>
    <row r="16" spans="1:5" x14ac:dyDescent="0.35">
      <c r="A16">
        <v>15</v>
      </c>
      <c r="B16">
        <v>57500</v>
      </c>
    </row>
    <row r="17" spans="1:5" x14ac:dyDescent="0.35">
      <c r="A17">
        <v>16</v>
      </c>
      <c r="B17">
        <v>60000</v>
      </c>
    </row>
    <row r="18" spans="1:5" x14ac:dyDescent="0.35">
      <c r="A18">
        <v>17</v>
      </c>
      <c r="B18">
        <v>65000</v>
      </c>
    </row>
    <row r="19" spans="1:5" x14ac:dyDescent="0.35">
      <c r="A19">
        <v>18</v>
      </c>
      <c r="B19">
        <v>63000</v>
      </c>
    </row>
    <row r="20" spans="1:5" x14ac:dyDescent="0.35">
      <c r="A20">
        <v>19</v>
      </c>
      <c r="B20">
        <v>68000</v>
      </c>
    </row>
    <row r="21" spans="1:5" x14ac:dyDescent="0.35">
      <c r="A21">
        <v>20</v>
      </c>
      <c r="B21">
        <v>71000</v>
      </c>
    </row>
    <row r="22" spans="1:5" x14ac:dyDescent="0.35">
      <c r="A22">
        <v>21</v>
      </c>
      <c r="B22">
        <v>76000</v>
      </c>
    </row>
    <row r="23" spans="1:5" x14ac:dyDescent="0.35">
      <c r="A23">
        <v>22</v>
      </c>
      <c r="B23">
        <v>79000</v>
      </c>
    </row>
    <row r="24" spans="1:5" x14ac:dyDescent="0.35">
      <c r="A24">
        <v>23</v>
      </c>
      <c r="B24">
        <v>73500</v>
      </c>
    </row>
    <row r="25" spans="1:5" x14ac:dyDescent="0.35">
      <c r="A25">
        <v>24</v>
      </c>
      <c r="B25">
        <v>84000</v>
      </c>
      <c r="C25">
        <v>84000</v>
      </c>
      <c r="D25" s="6">
        <v>84000</v>
      </c>
      <c r="E25" s="6">
        <v>84000</v>
      </c>
    </row>
    <row r="26" spans="1:5" x14ac:dyDescent="0.35">
      <c r="A26">
        <v>25</v>
      </c>
      <c r="C26">
        <f t="shared" ref="C26:C31" si="0">_xlfn.FORECAST.ETS(A26,$B$2:$B$25,$A$2:$A$25,1,1)</f>
        <v>76923.078791602195</v>
      </c>
      <c r="D26" s="6">
        <f t="shared" ref="D26:D31" si="1">C26-_xlfn.FORECAST.ETS.CONFINT(A26,$B$2:$B$25,$A$2:$A$25,0.95,1,1)</f>
        <v>60367.764390354234</v>
      </c>
      <c r="E26" s="6">
        <f t="shared" ref="E26:E31" si="2">C26+_xlfn.FORECAST.ETS.CONFINT(A26,$B$2:$B$25,$A$2:$A$25,0.95,1,1)</f>
        <v>93478.393192850155</v>
      </c>
    </row>
    <row r="27" spans="1:5" x14ac:dyDescent="0.35">
      <c r="A27">
        <v>26</v>
      </c>
      <c r="C27">
        <f t="shared" si="0"/>
        <v>77968.931906754922</v>
      </c>
      <c r="D27" s="6">
        <f t="shared" si="1"/>
        <v>61280.641221335398</v>
      </c>
      <c r="E27" s="6">
        <f t="shared" si="2"/>
        <v>94657.222592174454</v>
      </c>
    </row>
    <row r="28" spans="1:5" x14ac:dyDescent="0.35">
      <c r="A28">
        <v>27</v>
      </c>
      <c r="C28">
        <f t="shared" si="0"/>
        <v>79014.78502190765</v>
      </c>
      <c r="D28" s="6">
        <f t="shared" si="1"/>
        <v>62192.491864348616</v>
      </c>
      <c r="E28" s="6">
        <f t="shared" si="2"/>
        <v>95837.078179466684</v>
      </c>
    </row>
    <row r="29" spans="1:5" x14ac:dyDescent="0.35">
      <c r="A29">
        <v>28</v>
      </c>
      <c r="C29">
        <f t="shared" si="0"/>
        <v>80060.638137060378</v>
      </c>
      <c r="D29" s="6">
        <f t="shared" si="1"/>
        <v>63103.324484408004</v>
      </c>
      <c r="E29" s="6">
        <f t="shared" si="2"/>
        <v>97017.951789712752</v>
      </c>
    </row>
    <row r="30" spans="1:5" x14ac:dyDescent="0.35">
      <c r="A30">
        <v>29</v>
      </c>
      <c r="C30">
        <f t="shared" si="0"/>
        <v>81106.491252213105</v>
      </c>
      <c r="D30" s="6">
        <f t="shared" si="1"/>
        <v>64013.14717141226</v>
      </c>
      <c r="E30" s="6">
        <f t="shared" si="2"/>
        <v>98199.835333013951</v>
      </c>
    </row>
    <row r="31" spans="1:5" x14ac:dyDescent="0.35">
      <c r="A31">
        <v>30</v>
      </c>
      <c r="C31">
        <f t="shared" si="0"/>
        <v>82152.344367365818</v>
      </c>
      <c r="D31" s="6">
        <f t="shared" si="1"/>
        <v>64921.967938326823</v>
      </c>
      <c r="E31" s="6">
        <f t="shared" si="2"/>
        <v>99382.720796404814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opLeftCell="A40" zoomScale="99" zoomScaleNormal="99" workbookViewId="0">
      <selection activeCell="K1" sqref="A1:K1"/>
    </sheetView>
  </sheetViews>
  <sheetFormatPr defaultRowHeight="14.5" x14ac:dyDescent="0.35"/>
  <cols>
    <col min="1" max="1" width="7.453125" style="3" bestFit="1" customWidth="1"/>
    <col min="2" max="2" width="11.6328125" bestFit="1" customWidth="1"/>
    <col min="3" max="3" width="15.7265625" bestFit="1" customWidth="1"/>
    <col min="4" max="4" width="13.7265625" bestFit="1" customWidth="1"/>
    <col min="5" max="5" width="5.54296875" bestFit="1" customWidth="1"/>
    <col min="6" max="6" width="11" bestFit="1" customWidth="1"/>
    <col min="7" max="7" width="12.36328125" bestFit="1" customWidth="1"/>
    <col min="9" max="9" width="8.7265625" style="10"/>
    <col min="10" max="10" width="8.7265625" style="8"/>
    <col min="11" max="11" width="13.1796875" bestFit="1" customWidth="1"/>
  </cols>
  <sheetData>
    <row r="1" spans="1:12" s="1" customFormat="1" x14ac:dyDescent="0.35">
      <c r="A1" s="2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36</v>
      </c>
      <c r="I1" s="9" t="s">
        <v>60</v>
      </c>
      <c r="J1" s="7" t="s">
        <v>56</v>
      </c>
      <c r="K1" s="1" t="s">
        <v>63</v>
      </c>
    </row>
    <row r="2" spans="1:12" x14ac:dyDescent="0.35">
      <c r="A2" s="3" t="s">
        <v>6</v>
      </c>
      <c r="B2">
        <v>1</v>
      </c>
      <c r="C2">
        <v>42000</v>
      </c>
      <c r="D2">
        <v>12000</v>
      </c>
      <c r="E2">
        <v>2100</v>
      </c>
      <c r="F2">
        <v>320</v>
      </c>
      <c r="G2">
        <v>48000</v>
      </c>
      <c r="I2" s="10">
        <f>F2/C2</f>
        <v>7.619047619047619E-3</v>
      </c>
      <c r="J2" s="8">
        <f>(G2-D2)/D2</f>
        <v>3</v>
      </c>
      <c r="K2" s="8">
        <f>(SUM(G2:G25)-SUM(D2:D25))/SUM(D2:D25)</f>
        <v>3.0826666666666669</v>
      </c>
    </row>
    <row r="3" spans="1:12" x14ac:dyDescent="0.35">
      <c r="A3" s="3" t="s">
        <v>7</v>
      </c>
      <c r="B3">
        <f t="shared" ref="B3:B25" si="0">ROW(A3)-ROW($A$2)+1</f>
        <v>2</v>
      </c>
      <c r="C3">
        <v>39000</v>
      </c>
      <c r="D3">
        <v>11000</v>
      </c>
      <c r="E3">
        <v>1950</v>
      </c>
      <c r="F3">
        <v>300</v>
      </c>
      <c r="G3">
        <v>45000</v>
      </c>
      <c r="I3" s="10">
        <f t="shared" ref="I3:I25" si="1">F3/C3</f>
        <v>7.6923076923076927E-3</v>
      </c>
      <c r="J3" s="8">
        <f t="shared" ref="J3:J25" si="2">(G3-D3)/D3</f>
        <v>3.0909090909090908</v>
      </c>
    </row>
    <row r="4" spans="1:12" x14ac:dyDescent="0.35">
      <c r="A4" s="3" t="s">
        <v>8</v>
      </c>
      <c r="B4">
        <f t="shared" si="0"/>
        <v>3</v>
      </c>
      <c r="C4">
        <v>46000</v>
      </c>
      <c r="D4">
        <v>13000</v>
      </c>
      <c r="E4">
        <v>2300</v>
      </c>
      <c r="F4">
        <v>350</v>
      </c>
      <c r="G4">
        <v>52000</v>
      </c>
      <c r="I4" s="10">
        <f t="shared" si="1"/>
        <v>7.6086956521739134E-3</v>
      </c>
      <c r="J4" s="8">
        <f t="shared" si="2"/>
        <v>3</v>
      </c>
    </row>
    <row r="5" spans="1:12" x14ac:dyDescent="0.35">
      <c r="A5" s="3" t="s">
        <v>9</v>
      </c>
      <c r="B5">
        <f t="shared" si="0"/>
        <v>4</v>
      </c>
      <c r="C5">
        <v>48000</v>
      </c>
      <c r="D5">
        <v>14000</v>
      </c>
      <c r="E5">
        <v>2400</v>
      </c>
      <c r="F5">
        <v>365</v>
      </c>
      <c r="G5">
        <v>55000</v>
      </c>
      <c r="I5" s="10">
        <f t="shared" si="1"/>
        <v>7.6041666666666671E-3</v>
      </c>
      <c r="J5" s="8">
        <f t="shared" si="2"/>
        <v>2.9285714285714284</v>
      </c>
    </row>
    <row r="6" spans="1:12" x14ac:dyDescent="0.35">
      <c r="A6" s="3" t="s">
        <v>10</v>
      </c>
      <c r="B6">
        <f t="shared" si="0"/>
        <v>5</v>
      </c>
      <c r="C6">
        <v>52000</v>
      </c>
      <c r="D6">
        <v>15000</v>
      </c>
      <c r="E6">
        <v>2600</v>
      </c>
      <c r="F6">
        <v>400</v>
      </c>
      <c r="G6">
        <v>60000</v>
      </c>
      <c r="I6" s="10">
        <f t="shared" si="1"/>
        <v>7.6923076923076927E-3</v>
      </c>
      <c r="J6" s="8">
        <f t="shared" si="2"/>
        <v>3</v>
      </c>
    </row>
    <row r="7" spans="1:12" x14ac:dyDescent="0.35">
      <c r="A7" s="3" t="s">
        <v>11</v>
      </c>
      <c r="B7">
        <f t="shared" si="0"/>
        <v>6</v>
      </c>
      <c r="C7">
        <v>50000</v>
      </c>
      <c r="D7">
        <v>14500</v>
      </c>
      <c r="E7">
        <v>2500</v>
      </c>
      <c r="F7">
        <v>390</v>
      </c>
      <c r="G7">
        <v>58500</v>
      </c>
      <c r="I7" s="10">
        <f t="shared" si="1"/>
        <v>7.7999999999999996E-3</v>
      </c>
      <c r="J7" s="8">
        <f t="shared" si="2"/>
        <v>3.0344827586206895</v>
      </c>
    </row>
    <row r="8" spans="1:12" x14ac:dyDescent="0.35">
      <c r="A8" s="3" t="s">
        <v>12</v>
      </c>
      <c r="B8">
        <f t="shared" si="0"/>
        <v>7</v>
      </c>
      <c r="C8">
        <v>54000</v>
      </c>
      <c r="D8">
        <v>15500</v>
      </c>
      <c r="E8">
        <v>2700</v>
      </c>
      <c r="F8">
        <v>420</v>
      </c>
      <c r="G8">
        <v>63000</v>
      </c>
      <c r="I8" s="10">
        <f t="shared" si="1"/>
        <v>7.7777777777777776E-3</v>
      </c>
      <c r="J8" s="8">
        <f t="shared" si="2"/>
        <v>3.064516129032258</v>
      </c>
    </row>
    <row r="9" spans="1:12" x14ac:dyDescent="0.35">
      <c r="A9" s="3" t="s">
        <v>13</v>
      </c>
      <c r="B9">
        <f t="shared" si="0"/>
        <v>8</v>
      </c>
      <c r="C9">
        <v>56000</v>
      </c>
      <c r="D9">
        <v>16000</v>
      </c>
      <c r="E9">
        <v>2800</v>
      </c>
      <c r="F9">
        <v>440</v>
      </c>
      <c r="G9">
        <v>66000</v>
      </c>
      <c r="I9" s="10">
        <f t="shared" si="1"/>
        <v>7.8571428571428577E-3</v>
      </c>
      <c r="J9" s="8">
        <f t="shared" si="2"/>
        <v>3.125</v>
      </c>
    </row>
    <row r="10" spans="1:12" x14ac:dyDescent="0.35">
      <c r="A10" s="3" t="s">
        <v>14</v>
      </c>
      <c r="B10">
        <f t="shared" si="0"/>
        <v>9</v>
      </c>
      <c r="C10">
        <v>59000</v>
      </c>
      <c r="D10">
        <v>17000</v>
      </c>
      <c r="E10">
        <v>2950</v>
      </c>
      <c r="F10">
        <v>470</v>
      </c>
      <c r="G10">
        <v>70500</v>
      </c>
      <c r="I10" s="10">
        <f t="shared" si="1"/>
        <v>7.9661016949152536E-3</v>
      </c>
      <c r="J10" s="8">
        <f t="shared" si="2"/>
        <v>3.1470588235294117</v>
      </c>
    </row>
    <row r="11" spans="1:12" x14ac:dyDescent="0.35">
      <c r="A11" s="3" t="s">
        <v>15</v>
      </c>
      <c r="B11">
        <f t="shared" si="0"/>
        <v>10</v>
      </c>
      <c r="C11">
        <v>61000</v>
      </c>
      <c r="D11">
        <v>17500</v>
      </c>
      <c r="E11">
        <v>3050</v>
      </c>
      <c r="F11">
        <v>490</v>
      </c>
      <c r="G11">
        <v>73500</v>
      </c>
      <c r="I11" s="10">
        <f t="shared" si="1"/>
        <v>8.032786885245901E-3</v>
      </c>
      <c r="J11" s="8">
        <f t="shared" si="2"/>
        <v>3.2</v>
      </c>
    </row>
    <row r="12" spans="1:12" x14ac:dyDescent="0.35">
      <c r="A12" s="3" t="s">
        <v>16</v>
      </c>
      <c r="B12">
        <f t="shared" si="0"/>
        <v>11</v>
      </c>
      <c r="C12">
        <v>58000</v>
      </c>
      <c r="D12">
        <v>16500</v>
      </c>
      <c r="E12">
        <v>2900</v>
      </c>
      <c r="F12">
        <v>455</v>
      </c>
      <c r="G12">
        <v>68000</v>
      </c>
      <c r="I12" s="10">
        <f t="shared" si="1"/>
        <v>7.8448275862068959E-3</v>
      </c>
      <c r="J12" s="8">
        <f t="shared" si="2"/>
        <v>3.1212121212121211</v>
      </c>
    </row>
    <row r="13" spans="1:12" x14ac:dyDescent="0.35">
      <c r="A13" s="3" t="s">
        <v>17</v>
      </c>
      <c r="B13">
        <f t="shared" si="0"/>
        <v>12</v>
      </c>
      <c r="C13">
        <v>65000</v>
      </c>
      <c r="D13">
        <v>19000</v>
      </c>
      <c r="E13">
        <v>3250</v>
      </c>
      <c r="F13">
        <v>520</v>
      </c>
      <c r="G13">
        <v>78000</v>
      </c>
      <c r="I13" s="10">
        <f t="shared" si="1"/>
        <v>8.0000000000000002E-3</v>
      </c>
      <c r="J13" s="8">
        <f t="shared" si="2"/>
        <v>3.1052631578947367</v>
      </c>
    </row>
    <row r="14" spans="1:12" x14ac:dyDescent="0.35">
      <c r="A14" s="3" t="s">
        <v>18</v>
      </c>
      <c r="B14">
        <f t="shared" si="0"/>
        <v>13</v>
      </c>
      <c r="C14">
        <v>46000</v>
      </c>
      <c r="D14">
        <v>13000</v>
      </c>
      <c r="E14">
        <v>2200</v>
      </c>
      <c r="F14">
        <v>330</v>
      </c>
      <c r="G14">
        <v>49500</v>
      </c>
      <c r="I14" s="10">
        <f t="shared" si="1"/>
        <v>7.1739130434782606E-3</v>
      </c>
      <c r="J14" s="8">
        <f t="shared" si="2"/>
        <v>2.8076923076923075</v>
      </c>
      <c r="L14">
        <f ca="1">AVERAGE(OFFSET(G2,COUNT(G2:G25)-6,0,6))</f>
        <v>75250</v>
      </c>
    </row>
    <row r="15" spans="1:12" x14ac:dyDescent="0.35">
      <c r="A15" s="3" t="s">
        <v>19</v>
      </c>
      <c r="B15">
        <f t="shared" si="0"/>
        <v>14</v>
      </c>
      <c r="C15">
        <v>44000</v>
      </c>
      <c r="D15">
        <v>12500</v>
      </c>
      <c r="E15">
        <v>2100</v>
      </c>
      <c r="F15">
        <v>315</v>
      </c>
      <c r="G15">
        <v>47000</v>
      </c>
      <c r="I15" s="10">
        <f t="shared" si="1"/>
        <v>7.1590909090909092E-3</v>
      </c>
      <c r="J15" s="8">
        <f t="shared" si="2"/>
        <v>2.76</v>
      </c>
      <c r="L15">
        <f ca="1">AVERAGE(OFFSET(G2,COUNT(G2:G25)-3,0,3))</f>
        <v>78833.333333333328</v>
      </c>
    </row>
    <row r="16" spans="1:12" x14ac:dyDescent="0.35">
      <c r="A16" s="3" t="s">
        <v>20</v>
      </c>
      <c r="B16">
        <f t="shared" si="0"/>
        <v>15</v>
      </c>
      <c r="C16">
        <v>51000</v>
      </c>
      <c r="D16">
        <v>14500</v>
      </c>
      <c r="E16">
        <v>2550</v>
      </c>
      <c r="F16">
        <v>385</v>
      </c>
      <c r="G16">
        <v>57500</v>
      </c>
      <c r="I16" s="10">
        <f t="shared" si="1"/>
        <v>7.5490196078431375E-3</v>
      </c>
      <c r="J16" s="8">
        <f t="shared" si="2"/>
        <v>2.9655172413793105</v>
      </c>
    </row>
    <row r="17" spans="1:16" x14ac:dyDescent="0.35">
      <c r="A17" s="3" t="s">
        <v>21</v>
      </c>
      <c r="B17">
        <f t="shared" si="0"/>
        <v>16</v>
      </c>
      <c r="C17">
        <v>53000</v>
      </c>
      <c r="D17">
        <v>15000</v>
      </c>
      <c r="E17">
        <v>2650</v>
      </c>
      <c r="F17">
        <v>400</v>
      </c>
      <c r="G17">
        <v>60000</v>
      </c>
      <c r="I17" s="10">
        <f t="shared" si="1"/>
        <v>7.5471698113207548E-3</v>
      </c>
      <c r="J17" s="8">
        <f t="shared" si="2"/>
        <v>3</v>
      </c>
    </row>
    <row r="18" spans="1:16" x14ac:dyDescent="0.35">
      <c r="A18" s="3" t="s">
        <v>22</v>
      </c>
      <c r="B18">
        <f t="shared" si="0"/>
        <v>17</v>
      </c>
      <c r="C18">
        <v>57000</v>
      </c>
      <c r="D18">
        <v>16000</v>
      </c>
      <c r="E18">
        <v>2850</v>
      </c>
      <c r="F18">
        <v>435</v>
      </c>
      <c r="G18">
        <v>65000</v>
      </c>
      <c r="I18" s="10">
        <f t="shared" si="1"/>
        <v>7.6315789473684207E-3</v>
      </c>
      <c r="J18" s="8">
        <f t="shared" si="2"/>
        <v>3.0625</v>
      </c>
    </row>
    <row r="19" spans="1:16" x14ac:dyDescent="0.35">
      <c r="A19" s="3" t="s">
        <v>23</v>
      </c>
      <c r="B19">
        <f t="shared" si="0"/>
        <v>18</v>
      </c>
      <c r="C19">
        <v>55000</v>
      </c>
      <c r="D19">
        <v>15500</v>
      </c>
      <c r="E19">
        <v>2750</v>
      </c>
      <c r="F19">
        <v>420</v>
      </c>
      <c r="G19">
        <v>63000</v>
      </c>
      <c r="I19" s="10">
        <f t="shared" si="1"/>
        <v>7.6363636363636364E-3</v>
      </c>
      <c r="J19" s="8">
        <f t="shared" si="2"/>
        <v>3.064516129032258</v>
      </c>
    </row>
    <row r="20" spans="1:16" x14ac:dyDescent="0.35">
      <c r="A20" s="3" t="s">
        <v>24</v>
      </c>
      <c r="B20">
        <f t="shared" si="0"/>
        <v>19</v>
      </c>
      <c r="C20">
        <v>59000</v>
      </c>
      <c r="D20">
        <v>16500</v>
      </c>
      <c r="E20">
        <v>2950</v>
      </c>
      <c r="F20">
        <v>455</v>
      </c>
      <c r="G20">
        <v>68000</v>
      </c>
      <c r="I20" s="10">
        <f t="shared" si="1"/>
        <v>7.7118644067796609E-3</v>
      </c>
      <c r="J20" s="8">
        <f t="shared" si="2"/>
        <v>3.1212121212121211</v>
      </c>
    </row>
    <row r="21" spans="1:16" x14ac:dyDescent="0.35">
      <c r="A21" s="3" t="s">
        <v>25</v>
      </c>
      <c r="B21">
        <f t="shared" si="0"/>
        <v>20</v>
      </c>
      <c r="C21">
        <v>61000</v>
      </c>
      <c r="D21">
        <v>17000</v>
      </c>
      <c r="E21">
        <v>3050</v>
      </c>
      <c r="F21">
        <v>475</v>
      </c>
      <c r="G21">
        <v>71000</v>
      </c>
      <c r="I21" s="10">
        <f t="shared" si="1"/>
        <v>7.7868852459016397E-3</v>
      </c>
      <c r="J21" s="8">
        <f t="shared" si="2"/>
        <v>3.1764705882352939</v>
      </c>
    </row>
    <row r="22" spans="1:16" x14ac:dyDescent="0.35">
      <c r="A22" s="3" t="s">
        <v>26</v>
      </c>
      <c r="B22">
        <f t="shared" si="0"/>
        <v>21</v>
      </c>
      <c r="C22">
        <v>64000</v>
      </c>
      <c r="D22">
        <v>18000</v>
      </c>
      <c r="E22">
        <v>3200</v>
      </c>
      <c r="F22">
        <v>505</v>
      </c>
      <c r="G22">
        <v>76000</v>
      </c>
      <c r="I22" s="10">
        <f t="shared" si="1"/>
        <v>7.8906250000000001E-3</v>
      </c>
      <c r="J22" s="8">
        <f t="shared" si="2"/>
        <v>3.2222222222222223</v>
      </c>
    </row>
    <row r="23" spans="1:16" x14ac:dyDescent="0.35">
      <c r="A23" s="3" t="s">
        <v>27</v>
      </c>
      <c r="B23">
        <f t="shared" si="0"/>
        <v>22</v>
      </c>
      <c r="C23">
        <v>66000</v>
      </c>
      <c r="D23">
        <v>18500</v>
      </c>
      <c r="E23">
        <v>3300</v>
      </c>
      <c r="F23">
        <v>525</v>
      </c>
      <c r="G23">
        <v>79000</v>
      </c>
      <c r="I23" s="10">
        <f t="shared" si="1"/>
        <v>7.9545454545454537E-3</v>
      </c>
      <c r="J23" s="8">
        <f t="shared" si="2"/>
        <v>3.2702702702702702</v>
      </c>
    </row>
    <row r="24" spans="1:16" x14ac:dyDescent="0.35">
      <c r="A24" s="3" t="s">
        <v>28</v>
      </c>
      <c r="B24">
        <f t="shared" si="0"/>
        <v>23</v>
      </c>
      <c r="C24">
        <v>62000</v>
      </c>
      <c r="D24">
        <v>17500</v>
      </c>
      <c r="E24">
        <v>3100</v>
      </c>
      <c r="F24">
        <v>490</v>
      </c>
      <c r="G24">
        <v>73500</v>
      </c>
      <c r="I24" s="10">
        <f t="shared" si="1"/>
        <v>7.9032258064516137E-3</v>
      </c>
      <c r="J24" s="8">
        <f t="shared" si="2"/>
        <v>3.2</v>
      </c>
    </row>
    <row r="25" spans="1:16" x14ac:dyDescent="0.35">
      <c r="A25" s="3" t="s">
        <v>29</v>
      </c>
      <c r="B25">
        <f t="shared" si="0"/>
        <v>24</v>
      </c>
      <c r="C25">
        <v>70000</v>
      </c>
      <c r="D25">
        <v>20000</v>
      </c>
      <c r="E25">
        <v>3500</v>
      </c>
      <c r="F25">
        <v>560</v>
      </c>
      <c r="G25">
        <v>84000</v>
      </c>
      <c r="I25" s="10">
        <f t="shared" si="1"/>
        <v>8.0000000000000002E-3</v>
      </c>
      <c r="J25" s="8">
        <f t="shared" si="2"/>
        <v>3.2</v>
      </c>
    </row>
    <row r="26" spans="1:16" x14ac:dyDescent="0.35">
      <c r="B26">
        <v>25</v>
      </c>
      <c r="D26">
        <f t="shared" ref="D26:D31" si="3">_xlfn.FORECAST.LINEAR(B26,$D$2:$D$25,$B$2:$B$25)</f>
        <v>18353.260869565216</v>
      </c>
      <c r="H26">
        <f t="shared" ref="H26:H31" si="4">_xlfn.FORECAST.LINEAR(B26,$G$2:$G$25,$B$2:$B$25)</f>
        <v>76460.144927536225</v>
      </c>
    </row>
    <row r="27" spans="1:16" x14ac:dyDescent="0.35">
      <c r="B27">
        <v>26</v>
      </c>
      <c r="D27">
        <f t="shared" si="3"/>
        <v>18571.521739130436</v>
      </c>
      <c r="H27">
        <f t="shared" si="4"/>
        <v>77473.623188405792</v>
      </c>
      <c r="J27" s="7" t="s">
        <v>37</v>
      </c>
    </row>
    <row r="28" spans="1:16" x14ac:dyDescent="0.35">
      <c r="B28">
        <v>27</v>
      </c>
      <c r="D28">
        <f t="shared" si="3"/>
        <v>18789.782608695652</v>
      </c>
      <c r="H28">
        <f t="shared" si="4"/>
        <v>78487.10144927536</v>
      </c>
      <c r="J28" s="8" t="s">
        <v>38</v>
      </c>
    </row>
    <row r="29" spans="1:16" x14ac:dyDescent="0.35">
      <c r="B29">
        <v>28</v>
      </c>
      <c r="D29">
        <f t="shared" si="3"/>
        <v>19008.043478260868</v>
      </c>
      <c r="H29">
        <f t="shared" si="4"/>
        <v>79500.579710144928</v>
      </c>
      <c r="K29" t="s">
        <v>39</v>
      </c>
    </row>
    <row r="30" spans="1:16" x14ac:dyDescent="0.35">
      <c r="B30">
        <v>29</v>
      </c>
      <c r="D30">
        <f t="shared" si="3"/>
        <v>19226.304347826088</v>
      </c>
      <c r="H30">
        <f t="shared" si="4"/>
        <v>80514.057971014496</v>
      </c>
      <c r="K30" t="s">
        <v>40</v>
      </c>
      <c r="M30" t="s">
        <v>41</v>
      </c>
      <c r="O30" t="s">
        <v>42</v>
      </c>
      <c r="P30">
        <v>1217</v>
      </c>
    </row>
    <row r="31" spans="1:16" x14ac:dyDescent="0.35">
      <c r="B31">
        <v>30</v>
      </c>
      <c r="D31">
        <f t="shared" si="3"/>
        <v>19444.565217391304</v>
      </c>
      <c r="H31">
        <f t="shared" si="4"/>
        <v>81527.536231884049</v>
      </c>
      <c r="K31" t="s">
        <v>43</v>
      </c>
    </row>
    <row r="32" spans="1:16" x14ac:dyDescent="0.35">
      <c r="J32" s="8" t="s">
        <v>44</v>
      </c>
      <c r="K32" t="s">
        <v>45</v>
      </c>
      <c r="M32">
        <v>71217</v>
      </c>
    </row>
    <row r="33" spans="2:13" x14ac:dyDescent="0.35">
      <c r="D33" t="s">
        <v>56</v>
      </c>
      <c r="J33" s="8" t="s">
        <v>47</v>
      </c>
      <c r="K33" t="s">
        <v>46</v>
      </c>
      <c r="M33">
        <v>72434</v>
      </c>
    </row>
    <row r="34" spans="2:13" x14ac:dyDescent="0.35">
      <c r="D34">
        <f>H26/D26</f>
        <v>4.1660250715625304</v>
      </c>
      <c r="J34" s="8" t="s">
        <v>48</v>
      </c>
      <c r="K34" t="s">
        <v>49</v>
      </c>
      <c r="M34">
        <v>73651</v>
      </c>
    </row>
    <row r="35" spans="2:13" x14ac:dyDescent="0.35">
      <c r="D35">
        <f>H27/D27</f>
        <v>4.1716357052835296</v>
      </c>
    </row>
    <row r="36" spans="2:13" x14ac:dyDescent="0.35">
      <c r="B36" t="s">
        <v>61</v>
      </c>
      <c r="D36">
        <f>H28/D28</f>
        <v>4.1771159935055673</v>
      </c>
      <c r="J36" s="8" t="s">
        <v>50</v>
      </c>
    </row>
    <row r="37" spans="2:13" x14ac:dyDescent="0.35">
      <c r="B37">
        <f>SUM(G2:G25)</f>
        <v>1531000</v>
      </c>
      <c r="D37">
        <f>H29/D29</f>
        <v>4.1824704263260024</v>
      </c>
      <c r="J37" s="8" t="s">
        <v>51</v>
      </c>
    </row>
    <row r="38" spans="2:13" x14ac:dyDescent="0.35">
      <c r="D38">
        <f>H30/D30</f>
        <v>4.1877032899522471</v>
      </c>
      <c r="K38" t="s">
        <v>52</v>
      </c>
      <c r="M38">
        <v>8.0000000000000002E-3</v>
      </c>
    </row>
    <row r="39" spans="2:13" x14ac:dyDescent="0.35">
      <c r="B39" t="s">
        <v>62</v>
      </c>
    </row>
    <row r="40" spans="2:13" x14ac:dyDescent="0.35">
      <c r="B40">
        <f>SUM(D2:D25)</f>
        <v>375000</v>
      </c>
      <c r="J40" s="8" t="s">
        <v>53</v>
      </c>
    </row>
    <row r="41" spans="2:13" x14ac:dyDescent="0.35">
      <c r="J41" s="8" t="s">
        <v>54</v>
      </c>
    </row>
    <row r="42" spans="2:13" x14ac:dyDescent="0.35">
      <c r="B42" t="s">
        <v>64</v>
      </c>
      <c r="K42">
        <v>71217</v>
      </c>
      <c r="L42" t="s">
        <v>55</v>
      </c>
      <c r="M42">
        <v>570</v>
      </c>
    </row>
    <row r="43" spans="2:13" x14ac:dyDescent="0.35">
      <c r="B43">
        <f>SUM(E2:E25)</f>
        <v>65700</v>
      </c>
      <c r="K43">
        <v>72434</v>
      </c>
      <c r="L43" t="s">
        <v>55</v>
      </c>
      <c r="M43">
        <v>579</v>
      </c>
    </row>
    <row r="44" spans="2:13" x14ac:dyDescent="0.35">
      <c r="K44">
        <v>73651</v>
      </c>
      <c r="L44" t="s">
        <v>55</v>
      </c>
      <c r="M44">
        <v>589</v>
      </c>
    </row>
    <row r="45" spans="2:13" x14ac:dyDescent="0.35">
      <c r="B45" t="s">
        <v>65</v>
      </c>
    </row>
    <row r="46" spans="2:13" x14ac:dyDescent="0.35">
      <c r="B46">
        <f>SUM(C2:C25)</f>
        <v>1318000</v>
      </c>
    </row>
    <row r="48" spans="2:13" x14ac:dyDescent="0.35">
      <c r="B48" t="s">
        <v>66</v>
      </c>
    </row>
    <row r="49" spans="1:12" x14ac:dyDescent="0.35">
      <c r="B49">
        <f>SUM(F2:F25)</f>
        <v>10215</v>
      </c>
    </row>
    <row r="50" spans="1:12" x14ac:dyDescent="0.35">
      <c r="A50" s="4" t="s">
        <v>6</v>
      </c>
      <c r="B50" s="4">
        <v>1</v>
      </c>
      <c r="C50" s="4">
        <v>42000</v>
      </c>
      <c r="D50" s="4">
        <v>12000</v>
      </c>
      <c r="E50" s="4">
        <v>2100</v>
      </c>
      <c r="F50" s="4">
        <v>320</v>
      </c>
      <c r="G50" s="4">
        <v>48000</v>
      </c>
      <c r="I50" s="4">
        <v>7.6190476190476199E-3</v>
      </c>
      <c r="J50" s="4">
        <v>3</v>
      </c>
      <c r="K50" s="4">
        <v>3.08266666666667</v>
      </c>
    </row>
    <row r="51" spans="1:12" x14ac:dyDescent="0.35">
      <c r="A51" s="4" t="s">
        <v>7</v>
      </c>
      <c r="B51" s="4">
        <v>2</v>
      </c>
      <c r="C51" s="4">
        <v>39000</v>
      </c>
      <c r="D51" s="4">
        <v>11000</v>
      </c>
      <c r="E51" s="4">
        <v>1950</v>
      </c>
      <c r="F51" s="4">
        <v>300</v>
      </c>
      <c r="G51" s="4">
        <v>45000</v>
      </c>
      <c r="I51" s="4">
        <v>7.6923076923076901E-3</v>
      </c>
      <c r="J51" s="4">
        <v>3.0909090909090899</v>
      </c>
    </row>
    <row r="52" spans="1:12" x14ac:dyDescent="0.35">
      <c r="A52" s="4" t="s">
        <v>8</v>
      </c>
      <c r="B52" s="4">
        <v>3</v>
      </c>
      <c r="C52" s="4">
        <v>46000</v>
      </c>
      <c r="D52" s="4">
        <v>13000</v>
      </c>
      <c r="E52" s="4">
        <v>2300</v>
      </c>
      <c r="F52" s="4">
        <v>350</v>
      </c>
      <c r="G52" s="4">
        <v>52000</v>
      </c>
      <c r="I52" s="4">
        <v>7.6086956521739099E-3</v>
      </c>
      <c r="J52" s="4">
        <v>3</v>
      </c>
    </row>
    <row r="53" spans="1:12" x14ac:dyDescent="0.35">
      <c r="A53" s="4" t="s">
        <v>9</v>
      </c>
      <c r="B53" s="4">
        <v>4</v>
      </c>
      <c r="C53" s="4">
        <v>48000</v>
      </c>
      <c r="D53" s="4">
        <v>14000</v>
      </c>
      <c r="E53" s="4">
        <v>2400</v>
      </c>
      <c r="F53" s="4">
        <v>365</v>
      </c>
      <c r="G53" s="4">
        <v>55000</v>
      </c>
      <c r="I53" s="4">
        <v>7.6041666666666697E-3</v>
      </c>
      <c r="J53" s="4">
        <v>2.9285714285714302</v>
      </c>
    </row>
    <row r="54" spans="1:12" x14ac:dyDescent="0.35">
      <c r="A54" s="4" t="s">
        <v>10</v>
      </c>
      <c r="B54" s="4">
        <v>5</v>
      </c>
      <c r="C54" s="4">
        <v>52000</v>
      </c>
      <c r="D54" s="4">
        <v>15000</v>
      </c>
      <c r="E54" s="4">
        <v>2600</v>
      </c>
      <c r="F54" s="4">
        <v>400</v>
      </c>
      <c r="G54" s="4">
        <v>60000</v>
      </c>
      <c r="I54" s="4">
        <v>7.6923076923076901E-3</v>
      </c>
      <c r="J54" s="4">
        <v>3</v>
      </c>
    </row>
    <row r="55" spans="1:12" x14ac:dyDescent="0.35">
      <c r="A55" s="4" t="s">
        <v>11</v>
      </c>
      <c r="B55" s="4">
        <v>6</v>
      </c>
      <c r="C55" s="4">
        <v>50000</v>
      </c>
      <c r="D55" s="4">
        <v>14500</v>
      </c>
      <c r="E55" s="4">
        <v>2500</v>
      </c>
      <c r="F55" s="4">
        <v>390</v>
      </c>
      <c r="G55" s="4">
        <v>58500</v>
      </c>
      <c r="I55" s="4">
        <v>7.7999999999999996E-3</v>
      </c>
      <c r="J55" s="4">
        <v>3.0344827586206899</v>
      </c>
    </row>
    <row r="56" spans="1:12" x14ac:dyDescent="0.35">
      <c r="A56" s="4" t="s">
        <v>12</v>
      </c>
      <c r="B56" s="4">
        <v>7</v>
      </c>
      <c r="C56" s="4">
        <v>54000</v>
      </c>
      <c r="D56" s="4">
        <v>15500</v>
      </c>
      <c r="E56" s="4">
        <v>2700</v>
      </c>
      <c r="F56" s="4">
        <v>420</v>
      </c>
      <c r="G56" s="4">
        <v>63000</v>
      </c>
      <c r="I56" s="4">
        <v>7.7777777777777802E-3</v>
      </c>
      <c r="J56" s="4">
        <v>3.0645161290322598</v>
      </c>
    </row>
    <row r="57" spans="1:12" x14ac:dyDescent="0.35">
      <c r="A57" s="4" t="s">
        <v>13</v>
      </c>
      <c r="B57" s="4">
        <v>8</v>
      </c>
      <c r="C57" s="4">
        <v>56000</v>
      </c>
      <c r="D57" s="4">
        <v>16000</v>
      </c>
      <c r="E57" s="4">
        <v>2800</v>
      </c>
      <c r="F57" s="4">
        <v>440</v>
      </c>
      <c r="G57" s="4">
        <v>66000</v>
      </c>
      <c r="I57" s="4">
        <v>7.8571428571428594E-3</v>
      </c>
      <c r="J57" s="4">
        <v>3.125</v>
      </c>
    </row>
    <row r="58" spans="1:12" x14ac:dyDescent="0.35">
      <c r="A58" s="4" t="s">
        <v>14</v>
      </c>
      <c r="B58" s="4">
        <v>9</v>
      </c>
      <c r="C58" s="4">
        <v>59000</v>
      </c>
      <c r="D58" s="4">
        <v>17000</v>
      </c>
      <c r="E58" s="4">
        <v>2950</v>
      </c>
      <c r="F58" s="4">
        <v>470</v>
      </c>
      <c r="G58" s="4">
        <v>70500</v>
      </c>
      <c r="I58" s="4">
        <v>7.9661016949152501E-3</v>
      </c>
      <c r="J58" s="4">
        <v>3.1470588235294099</v>
      </c>
    </row>
    <row r="59" spans="1:12" x14ac:dyDescent="0.35">
      <c r="A59" s="4" t="s">
        <v>15</v>
      </c>
      <c r="B59" s="4">
        <v>10</v>
      </c>
      <c r="C59" s="4">
        <v>61000</v>
      </c>
      <c r="D59" s="4">
        <v>17500</v>
      </c>
      <c r="E59" s="4">
        <v>3050</v>
      </c>
      <c r="F59" s="4">
        <v>490</v>
      </c>
      <c r="G59" s="4">
        <v>73500</v>
      </c>
      <c r="I59" s="4">
        <v>8.0327868852458992E-3</v>
      </c>
      <c r="J59" s="4">
        <v>3.2</v>
      </c>
    </row>
    <row r="60" spans="1:12" x14ac:dyDescent="0.35">
      <c r="A60" s="4" t="s">
        <v>16</v>
      </c>
      <c r="B60" s="4">
        <v>11</v>
      </c>
      <c r="C60" s="4">
        <v>58000</v>
      </c>
      <c r="D60" s="4">
        <v>16500</v>
      </c>
      <c r="E60" s="4">
        <v>2900</v>
      </c>
      <c r="F60" s="4">
        <v>455</v>
      </c>
      <c r="G60" s="4">
        <v>68000</v>
      </c>
      <c r="I60" s="4">
        <v>7.8448275862068994E-3</v>
      </c>
      <c r="J60" s="4">
        <v>3.1212121212121202</v>
      </c>
    </row>
    <row r="61" spans="1:12" x14ac:dyDescent="0.35">
      <c r="A61" s="4" t="s">
        <v>17</v>
      </c>
      <c r="B61" s="4">
        <v>12</v>
      </c>
      <c r="C61" s="4">
        <v>65000</v>
      </c>
      <c r="D61" s="4">
        <v>19000</v>
      </c>
      <c r="E61" s="4">
        <v>3250</v>
      </c>
      <c r="F61" s="4">
        <v>520</v>
      </c>
      <c r="G61" s="4">
        <v>78000</v>
      </c>
      <c r="I61" s="4">
        <v>8.0000000000000002E-3</v>
      </c>
      <c r="J61" s="4">
        <v>3.1052631578947398</v>
      </c>
    </row>
    <row r="62" spans="1:12" x14ac:dyDescent="0.35">
      <c r="A62" s="4" t="s">
        <v>18</v>
      </c>
      <c r="B62" s="4">
        <v>13</v>
      </c>
      <c r="C62" s="4">
        <v>46000</v>
      </c>
      <c r="D62" s="4">
        <v>13000</v>
      </c>
      <c r="E62" s="4">
        <v>2200</v>
      </c>
      <c r="F62" s="4">
        <v>330</v>
      </c>
      <c r="G62" s="4">
        <v>49500</v>
      </c>
      <c r="I62" s="4">
        <v>7.1739130434782597E-3</v>
      </c>
      <c r="J62" s="4">
        <v>2.8076923076923102</v>
      </c>
      <c r="L62" s="4" t="s">
        <v>67</v>
      </c>
    </row>
    <row r="63" spans="1:12" x14ac:dyDescent="0.35">
      <c r="A63" s="4" t="s">
        <v>19</v>
      </c>
      <c r="B63" s="4">
        <v>14</v>
      </c>
      <c r="C63" s="4">
        <v>44000</v>
      </c>
      <c r="D63" s="4">
        <v>12500</v>
      </c>
      <c r="E63" s="4">
        <v>2100</v>
      </c>
      <c r="F63" s="4">
        <v>315</v>
      </c>
      <c r="G63" s="4">
        <v>47000</v>
      </c>
      <c r="I63" s="4">
        <v>7.1590909090909101E-3</v>
      </c>
      <c r="J63" s="4">
        <v>2.76</v>
      </c>
      <c r="L63" s="4" t="s">
        <v>68</v>
      </c>
    </row>
    <row r="64" spans="1:12" x14ac:dyDescent="0.35">
      <c r="A64" s="4" t="s">
        <v>20</v>
      </c>
      <c r="B64" s="4">
        <v>15</v>
      </c>
      <c r="C64" s="4">
        <v>51000</v>
      </c>
      <c r="D64" s="4">
        <v>14500</v>
      </c>
      <c r="E64" s="4">
        <v>2550</v>
      </c>
      <c r="F64" s="4">
        <v>385</v>
      </c>
      <c r="G64" s="4">
        <v>57500</v>
      </c>
      <c r="I64" s="4">
        <v>7.5490196078431401E-3</v>
      </c>
      <c r="J64" s="4">
        <v>2.9655172413793101</v>
      </c>
    </row>
    <row r="65" spans="1:16" x14ac:dyDescent="0.35">
      <c r="A65" s="4" t="s">
        <v>21</v>
      </c>
      <c r="B65" s="4">
        <v>16</v>
      </c>
      <c r="C65" s="4">
        <v>53000</v>
      </c>
      <c r="D65" s="4">
        <v>15000</v>
      </c>
      <c r="E65" s="4">
        <v>2650</v>
      </c>
      <c r="F65" s="4">
        <v>400</v>
      </c>
      <c r="G65" s="4">
        <v>60000</v>
      </c>
      <c r="I65" s="4">
        <v>7.5471698113207496E-3</v>
      </c>
      <c r="J65" s="4">
        <v>3</v>
      </c>
    </row>
    <row r="66" spans="1:16" x14ac:dyDescent="0.35">
      <c r="A66" s="4" t="s">
        <v>22</v>
      </c>
      <c r="B66" s="4">
        <v>17</v>
      </c>
      <c r="C66" s="4">
        <v>57000</v>
      </c>
      <c r="D66" s="4">
        <v>16000</v>
      </c>
      <c r="E66" s="4">
        <v>2850</v>
      </c>
      <c r="F66" s="4">
        <v>435</v>
      </c>
      <c r="G66" s="4">
        <v>65000</v>
      </c>
      <c r="I66" s="4">
        <v>7.6315789473684198E-3</v>
      </c>
      <c r="J66" s="4">
        <v>3.0625</v>
      </c>
    </row>
    <row r="67" spans="1:16" x14ac:dyDescent="0.35">
      <c r="A67" s="4" t="s">
        <v>23</v>
      </c>
      <c r="B67" s="4">
        <v>18</v>
      </c>
      <c r="C67" s="4">
        <v>55000</v>
      </c>
      <c r="D67" s="4">
        <v>15500</v>
      </c>
      <c r="E67" s="4">
        <v>2750</v>
      </c>
      <c r="F67" s="4">
        <v>420</v>
      </c>
      <c r="G67" s="4">
        <v>63000</v>
      </c>
      <c r="I67" s="4">
        <v>7.6363636363636399E-3</v>
      </c>
      <c r="J67" s="4">
        <v>3.0645161290322598</v>
      </c>
    </row>
    <row r="68" spans="1:16" x14ac:dyDescent="0.35">
      <c r="A68" s="4" t="s">
        <v>24</v>
      </c>
      <c r="B68" s="4">
        <v>19</v>
      </c>
      <c r="C68" s="4">
        <v>59000</v>
      </c>
      <c r="D68" s="4">
        <v>16500</v>
      </c>
      <c r="E68" s="4">
        <v>2950</v>
      </c>
      <c r="F68" s="4">
        <v>455</v>
      </c>
      <c r="G68" s="4">
        <v>68000</v>
      </c>
      <c r="I68" s="4">
        <v>7.71186440677966E-3</v>
      </c>
      <c r="J68" s="4">
        <v>3.1212121212121202</v>
      </c>
    </row>
    <row r="69" spans="1:16" x14ac:dyDescent="0.35">
      <c r="A69" s="4" t="s">
        <v>25</v>
      </c>
      <c r="B69" s="4">
        <v>20</v>
      </c>
      <c r="C69" s="4">
        <v>61000</v>
      </c>
      <c r="D69" s="4">
        <v>17000</v>
      </c>
      <c r="E69" s="4">
        <v>3050</v>
      </c>
      <c r="F69" s="4">
        <v>475</v>
      </c>
      <c r="G69" s="4">
        <v>71000</v>
      </c>
      <c r="I69" s="4">
        <v>7.7868852459016397E-3</v>
      </c>
      <c r="J69" s="4">
        <v>3.1764705882352899</v>
      </c>
    </row>
    <row r="70" spans="1:16" x14ac:dyDescent="0.35">
      <c r="A70" s="4" t="s">
        <v>26</v>
      </c>
      <c r="B70" s="4">
        <v>21</v>
      </c>
      <c r="C70" s="4">
        <v>64000</v>
      </c>
      <c r="D70" s="4">
        <v>18000</v>
      </c>
      <c r="E70" s="4">
        <v>3200</v>
      </c>
      <c r="F70" s="4">
        <v>505</v>
      </c>
      <c r="G70" s="4">
        <v>76000</v>
      </c>
      <c r="I70" s="4">
        <v>7.8906250000000001E-3</v>
      </c>
      <c r="J70" s="4">
        <v>3.2222222222222201</v>
      </c>
    </row>
    <row r="71" spans="1:16" x14ac:dyDescent="0.35">
      <c r="A71" s="4" t="s">
        <v>27</v>
      </c>
      <c r="B71" s="4">
        <v>22</v>
      </c>
      <c r="C71" s="4">
        <v>66000</v>
      </c>
      <c r="D71" s="4">
        <v>18500</v>
      </c>
      <c r="E71" s="4">
        <v>3300</v>
      </c>
      <c r="F71" s="4">
        <v>525</v>
      </c>
      <c r="G71" s="4">
        <v>79000</v>
      </c>
      <c r="I71" s="4">
        <v>7.9545454545454503E-3</v>
      </c>
      <c r="J71" s="4">
        <v>3.2702702702702702</v>
      </c>
    </row>
    <row r="72" spans="1:16" x14ac:dyDescent="0.35">
      <c r="A72" s="4" t="s">
        <v>28</v>
      </c>
      <c r="B72" s="4">
        <v>23</v>
      </c>
      <c r="C72" s="4">
        <v>62000</v>
      </c>
      <c r="D72" s="4">
        <v>17500</v>
      </c>
      <c r="E72" s="4">
        <v>3100</v>
      </c>
      <c r="F72" s="4">
        <v>490</v>
      </c>
      <c r="G72" s="4">
        <v>73500</v>
      </c>
      <c r="I72" s="4">
        <v>7.9032258064516102E-3</v>
      </c>
      <c r="J72" s="4">
        <v>3.2</v>
      </c>
    </row>
    <row r="73" spans="1:16" x14ac:dyDescent="0.35">
      <c r="A73" s="4" t="s">
        <v>29</v>
      </c>
      <c r="B73" s="4">
        <v>24</v>
      </c>
      <c r="C73" s="4">
        <v>70000</v>
      </c>
      <c r="D73" s="4">
        <v>20000</v>
      </c>
      <c r="E73" s="4">
        <v>3500</v>
      </c>
      <c r="F73" s="4">
        <v>560</v>
      </c>
      <c r="G73" s="4">
        <v>84000</v>
      </c>
      <c r="I73" s="4">
        <v>8.0000000000000002E-3</v>
      </c>
      <c r="J73" s="4">
        <v>3.2</v>
      </c>
    </row>
    <row r="74" spans="1:16" x14ac:dyDescent="0.35">
      <c r="B74" s="4">
        <v>25</v>
      </c>
      <c r="D74" s="4">
        <v>18353.260869565202</v>
      </c>
      <c r="H74" s="4" t="s">
        <v>69</v>
      </c>
    </row>
    <row r="75" spans="1:16" x14ac:dyDescent="0.35">
      <c r="B75" s="4">
        <v>26</v>
      </c>
      <c r="D75" s="4">
        <v>18571.5217391304</v>
      </c>
      <c r="H75" s="4" t="s">
        <v>70</v>
      </c>
    </row>
    <row r="76" spans="1:16" x14ac:dyDescent="0.35">
      <c r="B76" s="4">
        <v>27</v>
      </c>
      <c r="D76" s="4">
        <v>18789.782608695699</v>
      </c>
      <c r="H76" s="4" t="s">
        <v>71</v>
      </c>
    </row>
    <row r="77" spans="1:16" x14ac:dyDescent="0.35">
      <c r="B77" s="4">
        <v>28</v>
      </c>
      <c r="D77" s="4">
        <v>19008.043478260901</v>
      </c>
      <c r="H77" s="4" t="s">
        <v>72</v>
      </c>
    </row>
    <row r="78" spans="1:16" x14ac:dyDescent="0.35">
      <c r="B78" s="4">
        <v>29</v>
      </c>
      <c r="D78" s="4">
        <v>19226.304347826099</v>
      </c>
      <c r="H78" s="4" t="s">
        <v>73</v>
      </c>
      <c r="M78" s="4" t="s">
        <v>41</v>
      </c>
      <c r="O78" s="4" t="s">
        <v>74</v>
      </c>
      <c r="P78" s="4" t="s">
        <v>75</v>
      </c>
    </row>
    <row r="79" spans="1:16" x14ac:dyDescent="0.35">
      <c r="B79" s="4">
        <v>30</v>
      </c>
      <c r="D79" s="4">
        <v>19444.5652173913</v>
      </c>
      <c r="H79" s="4" t="s">
        <v>76</v>
      </c>
    </row>
    <row r="80" spans="1:16" x14ac:dyDescent="0.35">
      <c r="M80" s="4" t="s">
        <v>77</v>
      </c>
    </row>
    <row r="81" spans="2:13" x14ac:dyDescent="0.35">
      <c r="M81" s="4" t="s">
        <v>78</v>
      </c>
    </row>
    <row r="82" spans="2:13" x14ac:dyDescent="0.35">
      <c r="D82" s="4">
        <v>4.1660250715625304</v>
      </c>
      <c r="M82" s="4" t="s">
        <v>79</v>
      </c>
    </row>
    <row r="83" spans="2:13" x14ac:dyDescent="0.35">
      <c r="D83" s="4">
        <v>4.1716357052835296</v>
      </c>
    </row>
    <row r="84" spans="2:13" x14ac:dyDescent="0.35">
      <c r="D84" s="4">
        <v>4.1771159935055699</v>
      </c>
    </row>
    <row r="85" spans="2:13" x14ac:dyDescent="0.35">
      <c r="B85" s="4">
        <v>1531000</v>
      </c>
      <c r="D85" s="4">
        <v>4.1824704263259997</v>
      </c>
    </row>
    <row r="86" spans="2:13" x14ac:dyDescent="0.35">
      <c r="D86" s="4">
        <v>4.1877032899522497</v>
      </c>
      <c r="M86" s="4" t="s">
        <v>80</v>
      </c>
    </row>
    <row r="88" spans="2:13" x14ac:dyDescent="0.35">
      <c r="B88" s="4">
        <v>375000</v>
      </c>
    </row>
    <row r="90" spans="2:13" x14ac:dyDescent="0.35">
      <c r="K90" s="4">
        <v>71217</v>
      </c>
      <c r="L90" s="4" t="s">
        <v>55</v>
      </c>
      <c r="M90" s="4" t="s">
        <v>81</v>
      </c>
    </row>
    <row r="91" spans="2:13" x14ac:dyDescent="0.35">
      <c r="B91" s="4">
        <v>65700</v>
      </c>
      <c r="K91" s="4">
        <v>72434</v>
      </c>
      <c r="L91" s="4" t="s">
        <v>55</v>
      </c>
      <c r="M91" s="4" t="s">
        <v>82</v>
      </c>
    </row>
    <row r="92" spans="2:13" x14ac:dyDescent="0.35">
      <c r="K92" s="4">
        <v>73651</v>
      </c>
      <c r="L92" s="4" t="s">
        <v>55</v>
      </c>
      <c r="M92" s="4" t="s">
        <v>83</v>
      </c>
    </row>
    <row r="94" spans="2:13" x14ac:dyDescent="0.35">
      <c r="B94" s="4">
        <v>1318000</v>
      </c>
    </row>
    <row r="97" spans="2:2" x14ac:dyDescent="0.35">
      <c r="B97" s="4">
        <v>10215</v>
      </c>
    </row>
  </sheetData>
  <phoneticPr fontId="3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4E46D-91C4-4FEF-B384-C4053D0D527F}">
  <dimension ref="B2:O4"/>
  <sheetViews>
    <sheetView workbookViewId="0">
      <selection activeCell="O4" sqref="O4"/>
    </sheetView>
  </sheetViews>
  <sheetFormatPr defaultRowHeight="14.5" x14ac:dyDescent="0.35"/>
  <sheetData>
    <row r="2" spans="2:15" x14ac:dyDescent="0.35">
      <c r="B2" t="s">
        <v>31</v>
      </c>
      <c r="E2" s="4" t="s">
        <v>32</v>
      </c>
      <c r="I2" t="s">
        <v>33</v>
      </c>
      <c r="M2" s="5">
        <v>76460</v>
      </c>
    </row>
    <row r="4" spans="2:15" x14ac:dyDescent="0.35">
      <c r="B4" t="s">
        <v>34</v>
      </c>
      <c r="J4" t="s">
        <v>35</v>
      </c>
      <c r="O4">
        <v>75250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34791-AF10-4EF4-8612-AD2EDFCAA284}">
  <dimension ref="A1"/>
  <sheetViews>
    <sheetView showGridLines="0" tabSelected="1" topLeftCell="A16" zoomScale="90" zoomScaleNormal="90" workbookViewId="0">
      <selection activeCell="O2" sqref="O2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Forcasted Data</vt:lpstr>
      <vt:lpstr>Marketing_Performance </vt:lpstr>
      <vt:lpstr>Formular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Ahyan Adejuwon Adelekan</cp:lastModifiedBy>
  <dcterms:created xsi:type="dcterms:W3CDTF">2026-01-11T11:53:27Z</dcterms:created>
  <dcterms:modified xsi:type="dcterms:W3CDTF">2026-08-18T20:35:19Z</dcterms:modified>
</cp:coreProperties>
</file>